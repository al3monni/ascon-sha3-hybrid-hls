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 e metodo" sheetId="1" state="visible" r:id="rId3"/>
    <sheet name="AMD – LUT" sheetId="2" state="visible" r:id="rId4"/>
    <sheet name="AMD – slice" sheetId="3" state="visible" r:id="rId5"/>
    <sheet name="Intel" sheetId="4" state="visible" r:id="rId6"/>
    <sheet name="HLS" sheetId="5" state="visible" r:id="rId7"/>
    <sheet name="Altre architetture" sheetId="6" state="visible" r:id="rId8"/>
    <sheet name="xck26 (KV260)" sheetId="7" state="visible" r:id="rId9"/>
    <sheet name="IP commerciali" sheetId="8" state="visible" r:id="rId10"/>
    <sheet name="Esclusi" sheetId="9" state="visible" r:id="rId11"/>
    <sheet name="In attesa" sheetId="10" state="visible" r:id="rId12"/>
    <sheet name="Fonti" sheetId="11" state="visible" r:id="rId13"/>
  </sheets>
  <definedNames>
    <definedName function="false" hidden="true" localSheetId="5" name="_xlnm._FilterDatabase" vbProcedure="false">'Altre architetture'!$A$4:$L$9</definedName>
    <definedName function="false" hidden="true" localSheetId="1" name="_xlnm._FilterDatabase" vbProcedure="false">'AMD – LUT'!$A$4:$L$17</definedName>
    <definedName function="false" hidden="true" localSheetId="2" name="_xlnm._FilterDatabase" vbProcedure="false">'AMD – slice'!$A$4:$L$25</definedName>
    <definedName function="false" hidden="true" localSheetId="4" name="_xlnm._FilterDatabase" vbProcedure="false">HLS!$A$4:$L$7</definedName>
    <definedName function="false" hidden="true" localSheetId="3" name="_xlnm._FilterDatabase" vbProcedure="false">Intel!$A$4:$L$25</definedName>
    <definedName function="false" hidden="false" name="A10_GX1150_ALM" vbProcedure="false">'Legenda e metodo'!$B$33</definedName>
    <definedName function="false" hidden="false" name="R_256" vbProcedure="false">'Legenda e metodo'!$B$32</definedName>
    <definedName function="false" hidden="false" name="R_ASCON" vbProcedure="false">'Legenda e metodo'!$B$31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TP = fclk·64/15 (Tab. 2). Ascon v1.2. FF n.d.</t>
        </r>
      </text>
    </comment>
    <comment ref="K6" authorId="0">
      <text>
        <r>
          <rPr>
            <sz val="10"/>
            <rFont val="Arial"/>
            <family val="2"/>
          </rPr>
          <t xml:space="preserve">† Dato da usare con cautela. 200 MHz = frequenza di funzionamento sulla PYNQ, non Fmax. c = 25 dichiarato (N = 25M + 78). Zynq-7000 PL = Artix-7.</t>
        </r>
      </text>
    </comment>
    <comment ref="K7" authorId="0">
      <text>
        <r>
          <rPr>
            <sz val="10"/>
            <rFont val="Arial"/>
            <family val="2"/>
          </rPr>
          <t xml:space="preserve">c non dichiarato (13 ricavato da TP e Fmax). Ascon v1.2: stessa permutazione e rate di Hash256.</t>
        </r>
      </text>
    </comment>
    <comment ref="K8" authorId="0">
      <text>
        <r>
          <rPr>
            <sz val="10"/>
            <rFont val="Arial"/>
            <family val="2"/>
          </rPr>
          <t xml:space="preserve">Ascon v1.2.</t>
        </r>
      </text>
    </comment>
    <comment ref="K9" authorId="0">
      <text>
        <r>
          <rPr>
            <sz val="10"/>
            <rFont val="Arial"/>
            <family val="2"/>
          </rPr>
          <t xml:space="preserve">c non dichiarato (7 ricavato da TP e Fmax).</t>
        </r>
      </text>
    </comment>
    <comment ref="K11" authorId="0">
      <text>
        <r>
          <rPr>
            <sz val="10"/>
            <rFont val="Arial"/>
            <family val="2"/>
          </rPr>
          <t xml:space="preserve">† Dato da usare con cautela. c ricavato dalla formula di latenza degli autori (96/z + 4 cicli). Tool e tipo di dato non dichiarati. FF n.d.</t>
        </r>
      </text>
    </comment>
    <comment ref="K12" authorId="0">
      <text>
        <r>
          <rPr>
            <sz val="10"/>
            <rFont val="Arial"/>
            <family val="2"/>
          </rPr>
          <t xml:space="preserve">† Dato da usare con cautela. c ricavato dalla formula di latenza degli autori (96/z + 4 cicli). Tool e tipo di dato non dichiarati. FF n.d.</t>
        </r>
      </text>
    </comment>
    <comment ref="K13" authorId="0">
      <text>
        <r>
          <rPr>
            <sz val="10"/>
            <rFont val="Arial"/>
            <family val="2"/>
          </rPr>
          <t xml:space="preserve">† Dato da usare con cautela. c ricavato dalla formula di latenza degli autori (96/z + 4 cicli). Tool e tipo di dato non dichiarati. FF n.d.</t>
        </r>
      </text>
    </comment>
    <comment ref="K14" authorId="0">
      <text>
        <r>
          <rPr>
            <sz val="10"/>
            <rFont val="Arial"/>
            <family val="2"/>
          </rPr>
          <t xml:space="preserve">† Dato da usare con cautela. Post-route non dichiarato; Fmax con opzione di sintesi "area".</t>
        </r>
      </text>
    </comment>
    <comment ref="K15" authorId="0">
      <text>
        <r>
          <rPr>
            <sz val="10"/>
            <rFont val="Arial"/>
            <family val="2"/>
          </rPr>
          <t xml:space="preserve">Solo SHA3-256.</t>
        </r>
      </text>
    </comment>
    <comment ref="K16" authorId="0">
      <text>
        <r>
          <rPr>
            <sz val="10"/>
            <rFont val="Arial"/>
            <family val="2"/>
          </rPr>
          <t xml:space="preserve">† Dato da usare con cautela. Senza padding né I/O. TP dichiarato sull’intero stato; c ricavato da quel valore. Tipo di dato n.d.</t>
        </r>
      </text>
    </comment>
    <comment ref="K17" authorId="0">
      <text>
        <r>
          <rPr>
            <sz val="10"/>
            <rFont val="Arial"/>
            <family val="2"/>
          </rPr>
          <t xml:space="preserve">† Dato da usare con cautela. Senza padding né I/O. TP dichiarato sull’intero stato; c ricavato da quel valore. Tipo di dato n.d.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3696 cicli, ma r·f/c ≠ TP dichiarato: usato il TP dichiarato. Solo Keccak-256. Memoria (non conteggiata nell’area): 1 BRAM (18 Kb).</t>
        </r>
      </text>
    </comment>
    <comment ref="K6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2328 cicli, ma r·f/c ≠ TP dichiarato: usato il TP dichiarato. Solo Keccak-256.</t>
        </r>
      </text>
    </comment>
    <comment ref="K7" authorId="0">
      <text>
        <r>
          <rPr>
            <sz val="10"/>
            <rFont val="Arial"/>
            <family val="2"/>
          </rPr>
          <t xml:space="preserve">c include i cicli di ingresso del messaggio (41 per r = 1088, 33 per r = 576). Padding pre-FIPS 202, stesso costo hardware.</t>
        </r>
      </text>
    </comment>
    <comment ref="K8" authorId="0">
      <text>
        <r>
          <rPr>
            <sz val="10"/>
            <rFont val="Arial"/>
            <family val="2"/>
          </rPr>
          <t xml:space="preserve">Padding in software.</t>
        </r>
      </text>
    </comment>
    <comment ref="K9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3696 cicli, ma r·f/c ≠ TP dichiarato: usato il TP dichiarato. Solo Keccak-256. Dimensione del blocco BRAM non dichiarata. Memoria (non conteggiata nell’area): 1 BRAM (36 Kb, assunta).</t>
        </r>
      </text>
    </comment>
    <comment ref="K10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2328 cicli, ma r·f/c ≠ TP dichiarato: usato il TP dichiarato. Solo Keccak-256.</t>
        </r>
      </text>
    </comment>
    <comment ref="K11" authorId="0">
      <text>
        <r>
          <rPr>
            <sz val="10"/>
            <rFont val="Arial"/>
            <family val="2"/>
          </rPr>
          <t xml:space="preserve">Stato in RAM distribuita (già inclusa nelle slice).</t>
        </r>
      </text>
    </comment>
    <comment ref="K12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13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14" authorId="0">
      <text>
        <r>
          <rPr>
            <sz val="10"/>
            <rFont val="Arial"/>
            <family val="2"/>
          </rPr>
          <t xml:space="preserve">† Dato da usare con cautela. Cicli per blocco non dichiarati (≈12 ricavati dal TP): usato il TP dichiarato.</t>
        </r>
      </text>
    </comment>
    <comment ref="K15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2328 cicli, ma r·f/c ≠ TP dichiarato: usato il TP dichiarato. Solo Keccak-256.</t>
        </r>
      </text>
    </comment>
    <comment ref="K16" authorId="0">
      <text>
        <r>
          <rPr>
            <sz val="10"/>
            <rFont val="Arial"/>
            <family val="2"/>
          </rPr>
          <t xml:space="preserve">Tool e tipo di dato non dichiarati (potenza post-P&amp;R). Solo SHA3-256 dichiarato.</t>
        </r>
      </text>
    </comment>
    <comment ref="K17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2328 cicli, ma r·f/c ≠ TP dichiarato: usato il TP dichiarato. Solo Keccak-256.</t>
        </r>
      </text>
    </comment>
    <comment ref="K18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19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20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21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22" authorId="0">
      <text>
        <r>
          <rPr>
            <sz val="10"/>
            <rFont val="Arial"/>
            <family val="2"/>
          </rPr>
          <t xml:space="preserve">Tool e tipo di dato non dichiarati (potenza post-P&amp;R). Solo SHA3-256 dichiarato.</t>
        </r>
      </text>
    </comment>
    <comment ref="K23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24" authorId="0">
      <text>
        <r>
          <rPr>
            <sz val="10"/>
            <rFont val="Arial"/>
            <family val="2"/>
          </rPr>
          <t xml:space="preserve">Device e tipo di dato non dichiarati.</t>
        </r>
      </text>
    </comment>
    <comment ref="K25" authorId="0">
      <text>
        <r>
          <rPr>
            <sz val="10"/>
            <rFont val="Arial"/>
            <family val="2"/>
          </rPr>
          <t xml:space="preserve">† Dato da usare con cautela. Cicli per blocco non dichiarati (≈12 ricavati dal TP): usato il TP dichiarato.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6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7" authorId="0">
      <text>
        <r>
          <rPr>
            <sz val="10"/>
            <rFont val="Arial"/>
            <family val="2"/>
          </rPr>
          <t xml:space="preserve">TP = fclk·64/15. Ascon v1.2. FF n.d.</t>
        </r>
      </text>
    </comment>
    <comment ref="K8" authorId="0">
      <text>
        <r>
          <rPr>
            <sz val="10"/>
            <rFont val="Arial"/>
            <family val="2"/>
          </rPr>
          <t xml:space="preserve">† Dato da usare con cautela. Fmax dal ritardo dichiarato; c di Tab. 1 = 3696 cicli; usato il TP dichiarato. Cyclone II non ha RAM distribuita: conversione della memoria solo convenzionale. Memoria (non conteggiata nell’area): 8 192 bit.</t>
        </r>
      </text>
    </comment>
    <comment ref="K9" authorId="0">
      <text>
        <r>
          <rPr>
            <sz val="10"/>
            <rFont val="Arial"/>
            <family val="2"/>
          </rPr>
          <t xml:space="preserve">Fmax dal ritardo dichiarato; c di Tab. 1 = 2328 cicli; usato il TP dichiarato.</t>
        </r>
      </text>
    </comment>
    <comment ref="K10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  <comment ref="K11" authorId="0">
      <text>
        <r>
          <rPr>
            <sz val="10"/>
            <rFont val="Arial"/>
            <family val="2"/>
          </rPr>
          <t xml:space="preserve">† Dato da usare con cautela. La versione srotolata non entra nel device. r = 1024: TP ricalcolato.</t>
        </r>
      </text>
    </comment>
    <comment ref="K12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  <comment ref="K13" authorId="0">
      <text>
        <r>
          <rPr>
            <sz val="10"/>
            <rFont val="Arial"/>
            <family val="2"/>
          </rPr>
          <t xml:space="preserve">Tab. 23 e 32. LE 4.29× e FF 12.43× rispetto ad Artix-7 (1263 LUT, 277 FF): su Artix-7 lo stato da 1600 bit non sta nei 277 FF, quindi è in RAM distribuita; Cyclone 10 LP non ha RAM distribuita e GMU esclude i blocchi M9K, per cui lo stato finisce in FF (nostra interpretazione).</t>
        </r>
      </text>
    </comment>
    <comment ref="K14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  <comment ref="K15" authorId="0">
      <text>
        <r>
          <rPr>
            <sz val="10"/>
            <rFont val="Arial"/>
            <family val="2"/>
          </rPr>
          <t xml:space="preserve">† Dato da usare con cautela. 8947 LE (3415 ALM). Cicli per blocco non dichiarati: usato il TP dichiarato. Core dentro un sistema AES + Keccak.</t>
        </r>
      </text>
    </comment>
    <comment ref="K16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  <comment ref="K17" authorId="0">
      <text>
        <r>
          <rPr>
            <sz val="10"/>
            <rFont val="Arial"/>
            <family val="2"/>
          </rPr>
          <t xml:space="preserve">† Dato da usare con cautela. Unità "slice" non definita su Intel. Sintesi Quartus 18.1 SE. Il contatore arriva a 48 (pipeline a 2 stadi): per messaggio singolo c = 48; il TP dichiarato usa 24.</t>
        </r>
      </text>
    </comment>
    <comment ref="K18" authorId="0">
      <text>
        <r>
          <rPr>
            <sz val="10"/>
            <rFont val="Arial"/>
            <family val="2"/>
          </rPr>
          <t xml:space="preserve">† Dato da usare con cautela. Unità "slice" non definita su Intel. Quartus 18.3 SE. 18 cicli per 24 round non spiegati; r·f/c = 26112, non 25507.</t>
        </r>
      </text>
    </comment>
    <comment ref="K19" authorId="0">
      <text>
        <r>
          <rPr>
            <sz val="10"/>
            <rFont val="Arial"/>
            <family val="2"/>
          </rPr>
          <t xml:space="preserve">† Dato da usare con cautela. Unità "slice" non definita su Intel. 14 cicli per 24 round non spiegati. Il testo dice che i cicli aumentano del 12.85%, ma passano da 18 a 14.</t>
        </r>
      </text>
    </comment>
    <comment ref="K20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  <comment ref="K21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  <comment ref="K22" authorId="0">
      <text>
        <r>
          <rPr>
            <sz val="10"/>
            <rFont val="Arial"/>
            <family val="2"/>
          </rPr>
          <t xml:space="preserve">† Dato da usare con cautela. r = 1024: TP ricalcolato.</t>
        </r>
      </text>
    </comment>
    <comment ref="K23" authorId="0">
      <text>
        <r>
          <rPr>
            <sz val="10"/>
            <rFont val="Arial"/>
            <family val="2"/>
          </rPr>
          <t xml:space="preserve">† Dato da usare con cautela. r = 1024 (Keccak pre-FIPS 202): TP ricalcolato.</t>
        </r>
      </text>
    </comment>
    <comment ref="K24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  <comment ref="K25" authorId="0">
      <text>
        <r>
          <rPr>
            <sz val="10"/>
            <rFont val="Arial"/>
            <family val="2"/>
          </rPr>
          <t xml:space="preserve">Stesso RTL delle righe Xilinx (foglio AMD – slice). c include i cicli di ingresso.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† Dato da usare con cautela. Riduzioni di area incoerenti tra testo e Tab. III. Dichiarato solo SHA3-512: c SHA3-256 assunto uguale al c SHA3-512 (49 cicli).</t>
        </r>
      </text>
    </comment>
    <comment ref="K6" authorId="0">
      <text>
        <r>
          <rPr>
            <sz val="10"/>
            <rFont val="Arial"/>
            <family val="2"/>
          </rPr>
          <t xml:space="preserve">† Dato da usare con cautela. Area dichiarata solo in percentuale (13 %): ALM = 13 % × 427 200 (VB: 85 426 = 20 %). TP misurato come dati/tempo del kernel su 10–100 KB, variante SHA-3 non specificata. Memoria (non conteggiata nell’area): 787 M20K.</t>
        </r>
      </text>
    </comment>
    <comment ref="K7" authorId="0">
      <text>
        <r>
          <rPr>
            <sz val="10"/>
            <rFont val="Arial"/>
            <family val="2"/>
          </rPr>
          <t xml:space="preserve">† Dato da usare con cautela. Device non dichiarato (progetto di test per vck190); non è detto se il periodo sia stima di sintesi o post-route. Non filtrabile.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Device: Lattice ECP5. Fmax e TP n.d. nella pagina del vendor (il product brief non è stato letto).</t>
        </r>
      </text>
    </comment>
    <comment ref="C23" authorId="0">
      <text>
        <r>
          <rPr>
            <sz val="10"/>
            <rFont val="Arial"/>
            <family val="2"/>
          </rPr>
          <t xml:space="preserve">Device: Lattice CertusPro-NX. Fmax e TP n.d. nella pagina del vendor (il product brief non è stato letto).</t>
        </r>
      </text>
    </comment>
    <comment ref="C24" authorId="0">
      <text>
        <r>
          <rPr>
            <sz val="10"/>
            <rFont val="Arial"/>
            <family val="2"/>
          </rPr>
          <t xml:space="preserve">Device: Microchip PolarFire. Fmax e TP n.d. nella pagina del vendor (il product brief non è stato letto).</t>
        </r>
      </text>
    </comment>
    <comment ref="C25" authorId="0">
      <text>
        <r>
          <rPr>
            <sz val="10"/>
            <rFont val="Arial"/>
            <family val="2"/>
          </rPr>
          <t xml:space="preserve">Device: "typical Lattice FPGA". Dichiarato "over 803.77 Mbps", modalità non specificata. Supporta Ascon v1.2.</t>
        </r>
      </text>
    </comment>
    <comment ref="K5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6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7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8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9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Flusso: risintesi RTL. Vincolo: 1.4 ns. Fmax = max 1000/(T − WNS). c ricavato dai cicli pubblicati (118 per 32 B, 1730 per 1024 B).</t>
        </r>
      </text>
    </comment>
    <comment ref="C4" authorId="0">
      <text>
        <r>
          <rPr>
            <sz val="10"/>
            <rFont val="Arial"/>
            <family val="2"/>
          </rPr>
          <t xml:space="preserve">Flusso: risintesi RTL. Vincolo: 1.8 ns. † Ricerca fermata a 1.8 ns (WNS −0.068 ns). Include AEAD.</t>
        </r>
      </text>
    </comment>
    <comment ref="C5" authorId="0">
      <text>
        <r>
          <rPr>
            <sz val="10"/>
            <rFont val="Arial"/>
            <family val="2"/>
          </rPr>
          <t xml:space="preserve">Flusso: risintesi RTL. Vincolo: 2.2 ns. 1 r/c, padding a carico dell’host; c misurato in simulazione.</t>
        </r>
      </text>
    </comment>
    <comment ref="C6" authorId="0">
      <text>
        <r>
          <rPr>
            <sz val="10"/>
            <rFont val="Arial"/>
            <family val="2"/>
          </rPr>
          <t xml:space="preserve">Flusso: Vitis HLS 2025.1. Vincolo: 10.0 ns. Periodo post-route: 4.722 ns. Memoria (non conteggiata nei LUT): 4 RAMB18. Solo pragma, nessuna ottimizzazione logica. BRAM = RAM di stato (union). c ⏳ (co-simulazione dedicata).</t>
        </r>
      </text>
    </comment>
    <comment ref="C7" authorId="0">
      <text>
        <r>
          <rPr>
            <sz val="10"/>
            <rFont val="Arial"/>
            <family val="2"/>
          </rPr>
          <t xml:space="preserve">Flusso: Vitis HLS 2025.1. Vincolo: 10.0 ns. Periodo post-route: 6.023 ns. Memoria (non conteggiata nei LUT): 10 RAMB18. Come sopra. c ⏳.</t>
        </r>
      </text>
    </comment>
    <comment ref="C8" authorId="0">
      <text>
        <r>
          <rPr>
            <sz val="10"/>
            <rFont val="Arial"/>
            <family val="2"/>
          </rPr>
          <t xml:space="preserve">Flusso: Vitis HLS 2025.1. Vincolo: 10.0 ns. Periodo post-route: 6.169 ns. Memoria (non conteggiata nei LUT): 10 RAMB18. Area condivisa tra i due algoritmi. c ⏳ per entrambe le modalità.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Device: Spartan-7 (-1). Datasheet: "up to 50 Mbits/MHz for one permutation per cycle"; cicli per blocco non dichiarati, TP n.d. Frequenze "not the highest possible".</t>
        </r>
      </text>
    </comment>
    <comment ref="C4" authorId="0">
      <text>
        <r>
          <rPr>
            <sz val="10"/>
            <rFont val="Arial"/>
            <family val="2"/>
          </rPr>
          <t xml:space="preserve">Device: Artix-7 (-1). Datasheet: "up to 50 Mbits/MHz for one permutation per cycle"; cicli per blocco non dichiarati, TP n.d. Frequenze "not the highest possible".</t>
        </r>
      </text>
    </comment>
    <comment ref="C5" authorId="0">
      <text>
        <r>
          <rPr>
            <sz val="10"/>
            <rFont val="Arial"/>
            <family val="2"/>
          </rPr>
          <t xml:space="preserve">Device: Kintex UltraScale+ (-1). Datasheet: "up to 50 Mbits/MHz for one permutation per cycle"; cicli per blocco non dichiarati, TP n.d. Frequenze "not the highest possible".</t>
        </r>
      </text>
    </comment>
    <comment ref="C6" authorId="0">
      <text>
        <r>
          <rPr>
            <sz val="10"/>
            <rFont val="Arial"/>
            <family val="2"/>
          </rPr>
          <t xml:space="preserve">Device: Kintex UltraScale+ (-1). Datasheet: "up to 50 Mbits/MHz for one permutation per cycle"; cicli per blocco non dichiarati, TP n.d. Frequenze "not the highest possible".</t>
        </r>
      </text>
    </comment>
    <comment ref="C7" authorId="0">
      <text>
        <r>
          <rPr>
            <sz val="10"/>
            <rFont val="Arial"/>
            <family val="2"/>
          </rPr>
          <t xml:space="preserve">Device: Kintex UltraScale+ (-1). Datasheet: "up to 50 Mbits/MHz for one permutation per cycle"; cicli per blocco non dichiarati, TP n.d. Frequenze "not the highest possible".</t>
        </r>
      </text>
    </comment>
    <comment ref="C8" authorId="0">
      <text>
        <r>
          <rPr>
            <sz val="10"/>
            <rFont val="Arial"/>
            <family val="2"/>
          </rPr>
          <t xml:space="preserve">Device: Cyclone V (-7). Datasheet: "up to 50 Mbits/MHz for one permutation per cycle"; cicli per blocco non dichiarati, TP n.d. Frequenze "not the highest possible".</t>
        </r>
      </text>
    </comment>
    <comment ref="C9" authorId="0">
      <text>
        <r>
          <rPr>
            <sz val="10"/>
            <rFont val="Arial"/>
            <family val="2"/>
          </rPr>
          <t xml:space="preserve">Device: Arria 10 GX (-1). Datasheet: "up to 50 Mbits/MHz for one permutation per cycle"; cicli per blocco non dichiarati, TP n.d. Frequenze "not the highest possible".</t>
        </r>
      </text>
    </comment>
    <comment ref="C10" authorId="0">
      <text>
        <r>
          <rPr>
            <sz val="10"/>
            <rFont val="Arial"/>
            <family val="2"/>
          </rPr>
          <t xml:space="preserve">Device: Agilex (-1). Datasheet: "up to 50 Mbits/MHz for one permutation per cycle"; cicli per blocco non dichiarati, TP n.d. Frequenze "not the highest possible".</t>
        </r>
      </text>
    </comment>
    <comment ref="C11" authorId="0">
      <text>
        <r>
          <rPr>
            <sz val="10"/>
            <rFont val="Arial"/>
            <family val="2"/>
          </rPr>
          <t xml:space="preserve">Device: Agilex (-1). Datasheet: "up to 50 Mbits/MHz for one permutation per cycle"; cicli per blocco non dichiarati, TP n.d. Frequenze "not the highest possible".</t>
        </r>
      </text>
    </comment>
    <comment ref="C12" authorId="0">
      <text>
        <r>
          <rPr>
            <sz val="10"/>
            <rFont val="Arial"/>
            <family val="2"/>
          </rPr>
          <t xml:space="preserve">Device: Agilex (-1). Datasheet: "up to 50 Mbits/MHz for one permutation per cycle"; cicli per blocco non dichiarati, TP n.d. Frequenze "not the highest possible".</t>
        </r>
      </text>
    </comment>
    <comment ref="C13" authorId="0">
      <text>
        <r>
          <rPr>
            <sz val="10"/>
            <rFont val="Arial"/>
            <family val="2"/>
          </rPr>
          <t xml:space="preserve">Device: xc7k420t-3. TP* = 5.3 bit/ciclo × f (Ascon-Hash, esclusi padding e inizializzazione). Valori "do not represent the higher speed or smaller area".</t>
        </r>
      </text>
    </comment>
    <comment ref="C14" authorId="0">
      <text>
        <r>
          <rPr>
            <sz val="10"/>
            <rFont val="Arial"/>
            <family val="2"/>
          </rPr>
          <t xml:space="preserve">Device: xcku085-3-e. TP* = 5.3 bit/ciclo × f (Ascon-Hash, esclusi padding e inizializzazione). Valori "do not represent the higher speed or smaller area".</t>
        </r>
      </text>
    </comment>
    <comment ref="C15" authorId="0">
      <text>
        <r>
          <rPr>
            <sz val="10"/>
            <rFont val="Arial"/>
            <family val="2"/>
          </rPr>
          <t xml:space="preserve">Device: xcku15p-3-e. TP* = 5.3 bit/ciclo × f (Ascon-Hash, esclusi padding e inizializzazione). Valori "do not represent the higher speed or smaller area".</t>
        </r>
      </text>
    </comment>
    <comment ref="C16" authorId="0">
      <text>
        <r>
          <rPr>
            <sz val="10"/>
            <rFont val="Arial"/>
            <family val="2"/>
          </rPr>
          <t xml:space="preserve">Device: xcvc1902-2MP-e-S. TP* = 5.3 bit/ciclo × f (Ascon-Hash, esclusi padding e inizializzazione). Valori "do not represent the higher speed or smaller area".</t>
        </r>
      </text>
    </comment>
    <comment ref="C17" authorId="0">
      <text>
        <r>
          <rPr>
            <sz val="10"/>
            <rFont val="Arial"/>
            <family val="2"/>
          </rPr>
          <t xml:space="preserve">Device: AGFA014R24A2E2V. TP* = 5.3 bit/ciclo × f (Ascon-Hash, esclusi padding e inizializzazione). Valori "do not represent the higher speed or smaller area".</t>
        </r>
      </text>
    </comment>
    <comment ref="C18" authorId="0">
      <text>
        <r>
          <rPr>
            <sz val="10"/>
            <rFont val="Arial"/>
            <family val="2"/>
          </rPr>
          <t xml:space="preserve">Device: 10AX115H1F34E1SG. TP* = 5.3 bit/ciclo × f (Ascon-Hash, esclusi padding e inizializzazione). Valori "do not represent the higher speed or smaller area".</t>
        </r>
      </text>
    </comment>
    <comment ref="C19" authorId="0">
      <text>
        <r>
          <rPr>
            <sz val="10"/>
            <rFont val="Arial"/>
            <family val="2"/>
          </rPr>
          <t xml:space="preserve">Device: 5CGXFC7C6F23C6. TP* = 5.3 bit/ciclo × f (Ascon-Hash, esclusi padding e inizializzazione). Valori "do not represent the higher speed or smaller area".</t>
        </r>
      </text>
    </comment>
    <comment ref="C20" authorId="0">
      <text>
        <r>
          <rPr>
            <sz val="10"/>
            <rFont val="Arial"/>
            <family val="2"/>
          </rPr>
          <t xml:space="preserve">Device: 10M50DAF672C7G. TP* = 5.3 bit/ciclo × f (Ascon-Hash, esclusi padding e inizializzazione). Valori "do not represent the higher speed or smaller area".</t>
        </r>
      </text>
    </comment>
    <comment ref="C21" authorId="0">
      <text>
        <r>
          <rPr>
            <sz val="10"/>
            <rFont val="Arial"/>
            <family val="2"/>
          </rPr>
          <t xml:space="preserve">Device: 5SGXMB5R1F43C1. TP* = 5.3 bit/ciclo × f (Ascon-Hash, esclusi padding e inizializzazione). Valori "do not represent the higher speed or smaller area".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Arial"/>
            <family val="2"/>
          </rPr>
          <t xml:space="preserve">3.16 Gbps attribuiti all’FPGA da una survey sono il valore ASIC (28 nm, 667 MHz).</t>
        </r>
      </text>
    </comment>
    <comment ref="K7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8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9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10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11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12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13" authorId="0">
      <text>
        <r>
          <rPr>
            <sz val="10"/>
            <rFont val="Arial"/>
            <family val="2"/>
          </rPr>
          <t xml:space="preserve">Tab. 23 e 32. Stesso RTL delle righe Artix-7.</t>
        </r>
      </text>
    </comment>
    <comment ref="K14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15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16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17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18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19" authorId="0">
      <text>
        <r>
          <rPr>
            <sz val="10"/>
            <rFont val="Arial"/>
            <family val="2"/>
          </rPr>
          <t xml:space="preserve">Tab. 24 e 36. Stesso RTL delle righe Artix-7. LUT a 4 ingressi: non confrontabili con i LUT6 AMD.</t>
        </r>
      </text>
    </comment>
    <comment ref="K20" authorId="0">
      <text>
        <r>
          <rPr>
            <sz val="10"/>
            <rFont val="Arial"/>
            <family val="2"/>
          </rPr>
          <t xml:space="preserve">c include i cicli di ingresso del messaggio (41 per r = 1088, 33 per r = 576). Padding pre-FIPS 202, stesso costo hardware.</t>
        </r>
      </text>
    </comment>
    <comment ref="K21" authorId="0">
      <text>
        <r>
          <rPr>
            <sz val="10"/>
            <rFont val="Arial"/>
            <family val="2"/>
          </rPr>
          <t xml:space="preserve">† Dato da usare con cautela. Padding in software. TP dichiarato con 2 messaggi intercalati (un blocco ogni 12 cicli); per messaggio singolo c = 24.</t>
        </r>
      </text>
    </comment>
    <comment ref="K23" authorId="0">
      <text>
        <r>
          <rPr>
            <sz val="10"/>
            <rFont val="Arial"/>
            <family val="2"/>
          </rPr>
          <t xml:space="preserve">† Dato da usare con cautela. Area e Fmax del core senza wrapper (Tab. IV).</t>
        </r>
      </text>
    </comment>
    <comment ref="K24" authorId="0">
      <text>
        <r>
          <rPr>
            <sz val="10"/>
            <rFont val="Arial"/>
            <family val="2"/>
          </rPr>
          <t xml:space="preserve">† Dato da usare con cautela. Due messaggi intercalati: 48 cicli per blocco del singolo messaggio. Il TP di Tab. I (7.80 Gbps) non corrisponde a r·f/c.</t>
        </r>
      </text>
    </comment>
    <comment ref="K25" authorId="0">
      <text>
        <r>
          <rPr>
            <sz val="10"/>
            <rFont val="Arial"/>
            <family val="2"/>
          </rPr>
          <t xml:space="preserve">Include wrapper con buffer IO (~160 slice).</t>
        </r>
      </text>
    </comment>
    <comment ref="K26" authorId="0">
      <text>
        <r>
          <rPr>
            <sz val="10"/>
            <rFont val="Arial"/>
            <family val="2"/>
          </rPr>
          <t xml:space="preserve">† Dato da usare con cautela. r·f/c con r = 1024 dà 4767, non 4670. TP ricalcolato con r = 1088 / 576.</t>
        </r>
      </text>
    </comment>
    <comment ref="K27" authorId="0">
      <text>
        <r>
          <rPr>
            <sz val="10"/>
            <rFont val="Arial"/>
            <family val="2"/>
          </rPr>
          <t xml:space="preserve">Padding in software.</t>
        </r>
      </text>
    </comment>
    <comment ref="K28" authorId="0">
      <text>
        <r>
          <rPr>
            <sz val="10"/>
            <rFont val="Arial"/>
            <family val="2"/>
          </rPr>
          <t xml:space="preserve">c include i cicli di ingresso del messaggio (41 per r = 1088, 33 per r = 576). Padding pre-FIPS 202, stesso costo hardware.</t>
        </r>
      </text>
    </comment>
    <comment ref="K29" authorId="0">
      <text>
        <r>
          <rPr>
            <sz val="10"/>
            <rFont val="Arial"/>
            <family val="2"/>
          </rPr>
          <t xml:space="preserve">† Dato da usare con cautela. Il contatore arriva a 48 (24 iterazioni × 2 stadi); il TP dichiarato usa 2 blocchi in parallelo. Per messaggio singolo c = 48.</t>
        </r>
      </text>
    </comment>
    <comment ref="K30" authorId="0">
      <text>
        <r>
          <rPr>
            <sz val="10"/>
            <rFont val="Arial"/>
            <family val="2"/>
          </rPr>
          <t xml:space="preserve">† Dato da usare con cautela. Tab. IV: i TP per variante non corrispondono a r·f/c (8518 = 1088·195.733/25 è attribuito a Keccak-512). Keccak Round 2.</t>
        </r>
      </text>
    </comment>
    <comment ref="K31" authorId="0">
      <text>
        <r>
          <rPr>
            <sz val="10"/>
            <rFont val="Arial"/>
            <family val="2"/>
          </rPr>
          <t xml:space="preserve">† Dato da usare con cautela. Keccak pre-FIPS 202 con r = 1024; TP ricalcolato con r = 1088 / 576.</t>
        </r>
      </text>
    </comment>
    <comment ref="K32" authorId="0">
      <text>
        <r>
          <rPr>
            <sz val="10"/>
            <rFont val="Arial"/>
            <family val="2"/>
          </rPr>
          <t xml:space="preserve">† Dato da usare con cautela. Padding in software. TP dichiarato con 2 messaggi intercalati (un blocco ogni 12 cicli); per messaggio singolo c = 24.</t>
        </r>
      </text>
    </comment>
    <comment ref="K33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3696 cicli, ma r·f/c ≠ TP dichiarato: usato il TP dichiarato. Solo Keccak-256. Memoria (non conteggiata nell’area): 1 BRAM (18 Kb).</t>
        </r>
      </text>
    </comment>
    <comment ref="K34" authorId="0">
      <text>
        <r>
          <rPr>
            <sz val="10"/>
            <rFont val="Arial"/>
            <family val="2"/>
          </rPr>
          <t xml:space="preserve">† Dato da usare con cautela. Fmax dal ritardo massimo dichiarato. c di Tab. 1 = 3696 cicli, ma r·f/c ≠ TP dichiarato: usato il TP dichiarato. Solo Keccak-256. Dimensione del blocco BRAM non dichiarata. Memoria (non conteggiata nell’area): 1 BRAM (36 Kb, assunta).</t>
        </r>
      </text>
    </comment>
    <comment ref="K36" authorId="0">
      <text>
        <r>
          <rPr>
            <sz val="10"/>
            <rFont val="Arial"/>
            <family val="2"/>
          </rPr>
          <t xml:space="preserve">Tool e tipo di dato non dichiarati (potenza post-P&amp;R). Solo SHA3-256 dichiarato.</t>
        </r>
      </text>
    </comment>
    <comment ref="K37" authorId="0">
      <text>
        <r>
          <rPr>
            <sz val="10"/>
            <rFont val="Arial"/>
            <family val="2"/>
          </rPr>
          <t xml:space="preserve">Padding in software.</t>
        </r>
      </text>
    </comment>
    <comment ref="K38" authorId="0">
      <text>
        <r>
          <rPr>
            <sz val="10"/>
            <rFont val="Arial"/>
            <family val="2"/>
          </rPr>
          <t xml:space="preserve">c include i cicli di ingresso del messaggio (41 per r = 1088, 33 per r = 576). Padding pre-FIPS 202, stesso costo hardware.</t>
        </r>
      </text>
    </comment>
    <comment ref="K39" authorId="0">
      <text>
        <r>
          <rPr>
            <sz val="10"/>
            <rFont val="Arial"/>
            <family val="2"/>
          </rPr>
          <t xml:space="preserve">Fmax e c n.d.</t>
        </r>
      </text>
    </comment>
    <comment ref="K40" authorId="0">
      <text>
        <r>
          <rPr>
            <sz val="10"/>
            <rFont val="Arial"/>
            <family val="2"/>
          </rPr>
          <t xml:space="preserve">† Dato da usare con cautela. Cicli per blocco non dichiarati (≈12 ricavati dal TP): usato il TP dichiarato.</t>
        </r>
      </text>
    </comment>
    <comment ref="K41" authorId="0">
      <text>
        <r>
          <rPr>
            <sz val="10"/>
            <rFont val="Arial"/>
            <family val="2"/>
          </rPr>
          <t xml:space="preserve">Valori dal PDF letto nella sessione del 23/10. Le altre 4 varianti sono note solo da fonte secondaria (foglio "In attesa").</t>
        </r>
      </text>
    </comment>
    <comment ref="K42" authorId="0">
      <text>
        <r>
          <rPr>
            <sz val="10"/>
            <rFont val="Arial"/>
            <family val="2"/>
          </rPr>
          <t xml:space="preserve">Valori dal PDF letto nella sessione del 23/10.</t>
        </r>
      </text>
    </comment>
    <comment ref="K43" authorId="0">
      <text>
        <r>
          <rPr>
            <sz val="10"/>
            <rFont val="Arial"/>
            <family val="2"/>
          </rPr>
          <t xml:space="preserve">† Dato da usare con cautela. Il contatore arriva a 48 (24 iterazioni × 2 stadi); il TP dichiarato usa 2 blocchi in parallelo. Per messaggio singolo c = 48.</t>
        </r>
      </text>
    </comment>
    <comment ref="K44" authorId="0">
      <text>
        <r>
          <rPr>
            <sz val="10"/>
            <rFont val="Arial"/>
            <family val="2"/>
          </rPr>
          <t xml:space="preserve">† Dato da usare con cautela. Padding in software. TP dichiarato con 2 messaggi intercalati (un blocco ogni 12 cicli); per messaggio singolo c = 24.</t>
        </r>
      </text>
    </comment>
    <comment ref="K45" authorId="0">
      <text>
        <r>
          <rPr>
            <sz val="10"/>
            <rFont val="Arial"/>
            <family val="2"/>
          </rPr>
          <t xml:space="preserve">Tool e tipo di dato non dichiarati (potenza post-P&amp;R). Solo SHA3-256 dichiarato.</t>
        </r>
      </text>
    </comment>
    <comment ref="K46" authorId="0">
      <text>
        <r>
          <rPr>
            <sz val="10"/>
            <rFont val="Arial"/>
            <family val="2"/>
          </rPr>
          <t xml:space="preserve">c include i cicli di ingresso del messaggio (41 per r = 1088, 33 per r = 576). Padding pre-FIPS 202, stesso costo hardware.</t>
        </r>
      </text>
    </comment>
    <comment ref="K47" authorId="0">
      <text>
        <r>
          <rPr>
            <sz val="10"/>
            <rFont val="Arial"/>
            <family val="2"/>
          </rPr>
          <t xml:space="preserve">Valori dal PDF letto nella sessione del 23/10.</t>
        </r>
      </text>
    </comment>
    <comment ref="K48" authorId="0">
      <text>
        <r>
          <rPr>
            <sz val="10"/>
            <rFont val="Arial"/>
            <family val="2"/>
          </rPr>
          <t xml:space="preserve">† Dato da usare con cautela. Include AES (le BRAM sono le tabelle AES). Gli autori riportano 3298 slice equivalenti con 32 Kb per BRAM. Memoria (non conteggiata nell’area): 16 BRAM (36 Kb).</t>
        </r>
      </text>
    </comment>
    <comment ref="K49" authorId="0">
      <text>
        <r>
          <rPr>
            <sz val="10"/>
            <rFont val="Arial"/>
            <family val="2"/>
          </rPr>
          <t xml:space="preserve">† Dato da usare con cautela. Il contatore arriva a 48 (24 iterazioni × 2 stadi); il TP dichiarato usa 2 blocchi in parallelo. Per messaggio singolo c = 48.</t>
        </r>
      </text>
    </comment>
    <comment ref="K50" authorId="0">
      <text>
        <r>
          <rPr>
            <sz val="10"/>
            <rFont val="Arial"/>
            <family val="2"/>
          </rPr>
          <t xml:space="preserve">† Dato da usare con cautela. Area 18.75 %. Memoria (non conteggiata nell’area): 711 M20K.</t>
        </r>
      </text>
    </comment>
    <comment ref="K51" authorId="0">
      <text>
        <r>
          <rPr>
            <sz val="10"/>
            <rFont val="Arial"/>
            <family val="2"/>
          </rPr>
          <t xml:space="preserve">† Dato da usare con cautela. Unità "slice" non definita su Intel. Nios II; Tab. 5 riporta 11 102 ALM per il sistema. Frequenza "reported by the tool".</t>
        </r>
      </text>
    </comment>
    <comment ref="K52" authorId="0">
      <text>
        <r>
          <rPr>
            <sz val="10"/>
            <rFont val="Arial"/>
            <family val="2"/>
          </rPr>
          <t xml:space="preserve">† Dato da usare con cautela. Unità "slice" non definita su Intel. Nios II; Tab. 5 riporta 12 020 ALM per il sistema.</t>
        </r>
      </text>
    </comment>
  </commentList>
</comments>
</file>

<file path=xl/sharedStrings.xml><?xml version="1.0" encoding="utf-8"?>
<sst xmlns="http://schemas.openxmlformats.org/spreadsheetml/2006/main" count="1488" uniqueCount="606">
  <si>
    <t xml:space="preserve">Stato dell’arte su FPGA — SHA3-256 / SHA3-512 / Ascon-Hash: punti del fronte di Pareto</t>
  </si>
  <si>
    <t xml:space="preserve">Metodologia: docs/reports/posizionamento_sota.md (repo ascon-sha3-hybrid-hls), estesa ai vendor non AMD e ai lavori in slice. Generato il 30/10/2026.</t>
  </si>
  <si>
    <t xml:space="preserve">Come leggere i fogli</t>
  </si>
  <si>
    <t xml:space="preserve">•  Ogni foglio raccoglie i lavori per vendor e unità d’area dichiarata: AMD – LUT, AMD – slice, Intel (ALM, ALUT, LE, "slice" non definita), HLS.</t>
  </si>
  <si>
    <t xml:space="preserve">•  Altre architetture: vendor diversi da AMD e Intel (Lattice, Microchip). LUT a 4 ingressi, non confrontabili direttamente con i LUT6 AMD né con gli ALM/LE Intel: dati di contesto, con il confronto dello stesso RTL su tre famiglie (GMU Round 2).</t>
  </si>
  <si>
    <t xml:space="preserve">•  Nei fogli restano solo i punti del fronte di Pareto. I punti dominati sono nel foglio Esclusi, con l’ID del punto che li domina; gli altri esclusi sono elencati con il motivo.</t>
  </si>
  <si>
    <t xml:space="preserve">•  Righe evidenziate in giallo (fogli AMD – LUT, AMD – slice, Intel, HLS): sottoinsieme dei punti del fronte scelto per il confronto diretto, con il criterio scritto sotto il titolo del foglio. Le altre righe restano sul fronte come contesto.</t>
  </si>
  <si>
    <t xml:space="preserve">•  Colonne: solo grandezze confrontabili — area dichiarata (e FF), Fmax, cicli per blocco c, TP e TP/area. Per SHA-3 tutti i valori si riferiscono a SHA3-256.</t>
  </si>
  <si>
    <t xml:space="preserve">•  Lavoro: [n] = numero del riferimento nel foglio Fonti (cliccabile). La variante del design è nella colonna Architettura.</t>
  </si>
  <si>
    <t xml:space="preserve">•  Il foglio xck26 (KV260) riporta per intero le risintesi dei core di riferimento e il nostro acceleratore: non è filtrato. Il foglio IP commerciali contiene dati di datasheet, non filtrati.</t>
  </si>
  <si>
    <t xml:space="preserve">•  Colori: BLU = valore dichiarato dagli autori (o misurato da noi); NERO = formula, cioè valore ricalcolato da noi (equivale al simbolo * del report).</t>
  </si>
  <si>
    <t xml:space="preserve">•  Simboli: † accanto al TP = dato da usare con cautela; il motivo è nel commento della cella (triangolo rosso, visibile al passaggio del mouse). n.d. = non dichiarato; – = non applicabile; ⏳ = da aggiornare.</t>
  </si>
  <si>
    <t xml:space="preserve">Definizioni</t>
  </si>
  <si>
    <t xml:space="preserve">•  r (rate): bit di messaggio per blocco — 64 per Ascon-Hash, 1088 per SHA3-256 (tabella Costanti).</t>
  </si>
  <si>
    <t xml:space="preserve">•  SHA-3: il confronto usa solo SHA3-256. SHA3-256 e SHA3-512 usano la stessa permutazione Keccak-f[1600]; con lo stesso c, TP SHA3-512 = TP SHA3-256 × 576/1088. Nei dati raccolti c è uguale per le due varianti in tutti i lavori tranne Honda et al. (c = 41 per SHA3-256, 33 per SHA3-512: blocco caricato su 64 bit). I lavori che dichiarano solo SHA3-512 sono nel foglio Esclusi.</t>
  </si>
  <si>
    <t xml:space="preserve">•  c: cicli di clock per blocco dello stesso messaggio, a regime. Per i design multi-messaggio si usa il c del messaggio singolo.</t>
  </si>
  <si>
    <t xml:space="preserve">•  TP (throughput su messaggi lunghi) = r · f / c, con f = Fmax (definizione GMU). Se f o c non sono dichiarati si usa il TP dichiarato dagli autori (in blu).</t>
  </si>
  <si>
    <t xml:space="preserve">•  Fmax: frequenza massima dichiarata; se il lavoro dichiara un periodo/ritardo T, Fmax = 1000 / T (in nero).</t>
  </si>
  <si>
    <t xml:space="preserve">•  TP/area: TP in kbps per unità d’area dichiarata (LUT, slice, ALM, ...); confrontabile solo dentro la stessa famiglia e unità. La memoria (blocchi RAM) non entra nell’area: dove un lavoro la usa, è indicato nel commento della cella TP.</t>
  </si>
  <si>
    <t xml:space="preserve">•  AEAD: cifratura autenticata. I core Ascon "include AEAD" hanno logica in più rispetto a un core solo hash.</t>
  </si>
  <si>
    <t xml:space="preserve">Fronte di Pareto</t>
  </si>
  <si>
    <t xml:space="preserve">•  Gruppo: stesso metodo (RTL o HLS), stesso algoritmo, stessa famiglia FPGA, stessa unità dichiarata. Zynq-7000 conta come Artix-7 (stessa logica programmabile).</t>
  </si>
  <si>
    <t xml:space="preserve">•  Un punto è dominato se un altro punto del gruppo ha area dichiarata ≤ e TP ≥, con almeno una disuguaglianza stretta (per SHA-3, TP SHA3-256).</t>
  </si>
  <si>
    <t xml:space="preserve">•  Come nel report, la memoria non entra nel confronto.</t>
  </si>
  <si>
    <t xml:space="preserve">Costanti</t>
  </si>
  <si>
    <t xml:space="preserve">Nome</t>
  </si>
  <si>
    <t xml:space="preserve">Valore</t>
  </si>
  <si>
    <t xml:space="preserve">Descrizione</t>
  </si>
  <si>
    <t xml:space="preserve">R_ASCON</t>
  </si>
  <si>
    <t xml:space="preserve">rate Ascon-Hash (bit)</t>
  </si>
  <si>
    <t xml:space="preserve">R_256</t>
  </si>
  <si>
    <t xml:space="preserve">rate SHA3-256 (bit)</t>
  </si>
  <si>
    <t xml:space="preserve">A10_GX1150_ALM</t>
  </si>
  <si>
    <t xml:space="preserve">ALM dell’Arria 10 GX 1150 (Bensalem et al.: VB = 85 426 ALM = 20 %)</t>
  </si>
  <si>
    <t xml:space="preserve">AMD, area dichiarata in LUT — punti del fronte di Pareto.</t>
  </si>
  <si>
    <t xml:space="preserve">Righe evidenziate: (1) stessa classe del nostro core — architetture iterative, al più 1 round per ciclo, senza unrolling né pipelining; (2) una sola edizione per benchmark ripetuto (GMU: Round 2, che dichiara c).</t>
  </si>
  <si>
    <t xml:space="preserve">ID</t>
  </si>
  <si>
    <t xml:space="preserve">Algoritmo</t>
  </si>
  <si>
    <t xml:space="preserve">Lavoro</t>
  </si>
  <si>
    <t xml:space="preserve">Famiglia</t>
  </si>
  <si>
    <t xml:space="preserve">Architettura</t>
  </si>
  <si>
    <t xml:space="preserve">Area dichiarata</t>
  </si>
  <si>
    <t xml:space="preserve">Unità</t>
  </si>
  <si>
    <t xml:space="preserve">FF</t>
  </si>
  <si>
    <t xml:space="preserve">Fmax (MHz)</t>
  </si>
  <si>
    <t xml:space="preserve">c (cicli/blocco)</t>
  </si>
  <si>
    <t xml:space="preserve">TP (Mbps)</t>
  </si>
  <si>
    <t xml:space="preserve">TP/area (kbps/unità)</t>
  </si>
  <si>
    <t xml:space="preserve">A09</t>
  </si>
  <si>
    <t xml:space="preserve">Ascon-Hash</t>
  </si>
  <si>
    <t xml:space="preserve">[6]</t>
  </si>
  <si>
    <t xml:space="preserve">Spartan-6</t>
  </si>
  <si>
    <t xml:space="preserve">1 r/c, include AEAD (c = 15 per blocco hash)</t>
  </si>
  <si>
    <t xml:space="preserve">LUT</t>
  </si>
  <si>
    <t xml:space="preserve">n.d.</t>
  </si>
  <si>
    <t xml:space="preserve">A01</t>
  </si>
  <si>
    <t xml:space="preserve">[4]</t>
  </si>
  <si>
    <t xml:space="preserve">Artix-7</t>
  </si>
  <si>
    <t xml:space="preserve">Hash + Hasha</t>
  </si>
  <si>
    <t xml:space="preserve">A02</t>
  </si>
  <si>
    <t xml:space="preserve">[2]</t>
  </si>
  <si>
    <t xml:space="preserve">1 r/c, include AEAD — GMU2-x1</t>
  </si>
  <si>
    <t xml:space="preserve">A03</t>
  </si>
  <si>
    <t xml:space="preserve">[1]</t>
  </si>
  <si>
    <t xml:space="preserve">1 r/c, include AEAD — GMU2-v1h</t>
  </si>
  <si>
    <t xml:space="preserve">A04</t>
  </si>
  <si>
    <t xml:space="preserve">2 r/c, include AEAD — GMU2-x2</t>
  </si>
  <si>
    <t xml:space="preserve">A05</t>
  </si>
  <si>
    <t xml:space="preserve">2 r/c, include AEAD — GMU2-v2h</t>
  </si>
  <si>
    <t xml:space="preserve">A06</t>
  </si>
  <si>
    <t xml:space="preserve">[3]</t>
  </si>
  <si>
    <t xml:space="preserve">Virtex-7</t>
  </si>
  <si>
    <t xml:space="preserve">1 r/c, solo hash — x1</t>
  </si>
  <si>
    <t xml:space="preserve">A07</t>
  </si>
  <si>
    <t xml:space="preserve">2 r/c, solo hash — x2</t>
  </si>
  <si>
    <t xml:space="preserve">A08</t>
  </si>
  <si>
    <t xml:space="preserve">4 r/c, solo hash — x4</t>
  </si>
  <si>
    <t xml:space="preserve">S01</t>
  </si>
  <si>
    <t xml:space="preserve">SHA3-256</t>
  </si>
  <si>
    <t xml:space="preserve">[7]</t>
  </si>
  <si>
    <t xml:space="preserve">Virtex-6</t>
  </si>
  <si>
    <t xml:space="preserve">compatto, per lane</t>
  </si>
  <si>
    <t xml:space="preserve">S02</t>
  </si>
  <si>
    <t xml:space="preserve">ripiegato ×8, senza padding</t>
  </si>
  <si>
    <t xml:space="preserve">S03</t>
  </si>
  <si>
    <t xml:space="preserve">[8]</t>
  </si>
  <si>
    <t xml:space="preserve">1 r/c, solo permutazione Keccak-p[1600,24]</t>
  </si>
  <si>
    <t xml:space="preserve">S04</t>
  </si>
  <si>
    <t xml:space="preserve">Kintex-7</t>
  </si>
  <si>
    <t xml:space="preserve">AMD, area dichiarata in slice — punti del fronte di Pareto. Nessun lavoro Ascon-Hash dichiara l’area in slice.</t>
  </si>
  <si>
    <t xml:space="preserve">Righe evidenziate: (1) stessa classe del nostro core — architetture iterative, al più 1 round per ciclo, senza unrolling né pipelining; (2) una sola edizione per benchmark ripetuto (Sideris et al.: JCEN 2024); (3) solo famiglie 7-series (Artix-7, Kintex-7, Virtex-7), le più vicine alla xck26: CLB da 8 LUT6 e 16 FF come l’UltraScale+.</t>
  </si>
  <si>
    <t xml:space="preserve">S71</t>
  </si>
  <si>
    <t xml:space="preserve">[18]</t>
  </si>
  <si>
    <t xml:space="preserve">Spartan-3</t>
  </si>
  <si>
    <t xml:space="preserve">compatto (lightweight), BRAM</t>
  </si>
  <si>
    <t xml:space="preserve">slice</t>
  </si>
  <si>
    <t xml:space="preserve">S70</t>
  </si>
  <si>
    <t xml:space="preserve">compatto (lightweight), solo logica</t>
  </si>
  <si>
    <t xml:space="preserve">S10</t>
  </si>
  <si>
    <t xml:space="preserve">[11]</t>
  </si>
  <si>
    <t xml:space="preserve">1 r/c + interfaccia 64 bit (Keccak 2014)</t>
  </si>
  <si>
    <t xml:space="preserve">S30</t>
  </si>
  <si>
    <t xml:space="preserve">[13]</t>
  </si>
  <si>
    <t xml:space="preserve">Virtex-4</t>
  </si>
  <si>
    <t xml:space="preserve">1 r/c — senza pipeline</t>
  </si>
  <si>
    <t xml:space="preserve">S75</t>
  </si>
  <si>
    <t xml:space="preserve">Virtex-5</t>
  </si>
  <si>
    <t xml:space="preserve">S74</t>
  </si>
  <si>
    <t xml:space="preserve">S42</t>
  </si>
  <si>
    <t xml:space="preserve">[15]</t>
  </si>
  <si>
    <t xml:space="preserve">ripiegato FF=4</t>
  </si>
  <si>
    <t xml:space="preserve">S90</t>
  </si>
  <si>
    <t xml:space="preserve">[20]</t>
  </si>
  <si>
    <t xml:space="preserve">1 r/c — 24 cicli</t>
  </si>
  <si>
    <t xml:space="preserve">S91</t>
  </si>
  <si>
    <t xml:space="preserve">2 r/c (unrolling ×2) — 12 cicli</t>
  </si>
  <si>
    <t xml:space="preserve">SA0</t>
  </si>
  <si>
    <t xml:space="preserve">[21]</t>
  </si>
  <si>
    <t xml:space="preserve">unrolling + pipelining</t>
  </si>
  <si>
    <t xml:space="preserve">S72</t>
  </si>
  <si>
    <t xml:space="preserve">SD2</t>
  </si>
  <si>
    <t xml:space="preserve">[29]</t>
  </si>
  <si>
    <t xml:space="preserve">1 r/c (LUT6 con INIT condiviso)</t>
  </si>
  <si>
    <t xml:space="preserve">S76</t>
  </si>
  <si>
    <t xml:space="preserve">S92</t>
  </si>
  <si>
    <t xml:space="preserve">S93</t>
  </si>
  <si>
    <t xml:space="preserve">S96</t>
  </si>
  <si>
    <t xml:space="preserve">S97</t>
  </si>
  <si>
    <t xml:space="preserve">SD3</t>
  </si>
  <si>
    <t xml:space="preserve">S94</t>
  </si>
  <si>
    <t xml:space="preserve">S95</t>
  </si>
  <si>
    <t xml:space="preserve">SA2</t>
  </si>
  <si>
    <t xml:space="preserve">Intel (Altera), area in ALM / ALUT / LE / "slice" non definita — solo punti del fronte di Pareto, separati per unità.</t>
  </si>
  <si>
    <t xml:space="preserve">Righe evidenziate: (1) stessa classe del nostro core — architetture iterative, al più 1 round per ciclo, senza unrolling né pipelining; (2) una sola edizione per benchmark ripetuto; (3) solo famiglie a 28 nm o più recenti (Cyclone V, Stratix V, Arria 10), la stessa generazione della 7-series. Sideris et al. (Arria 10) esclusi dal criterio (1): pipeline a 2 stadi, e area in "slice" non definita su Intel. Cyclone 10 LP (GMU Round 2) esclusa dal criterio (3): stessa architettura LE della Cyclone IV.</t>
  </si>
  <si>
    <t xml:space="preserve">G10</t>
  </si>
  <si>
    <t xml:space="preserve">Cyclone 10 LP</t>
  </si>
  <si>
    <t xml:space="preserve">1 r/c (basic iterative), include AEAD — GMU2-v1h</t>
  </si>
  <si>
    <t xml:space="preserve">LE</t>
  </si>
  <si>
    <t xml:space="preserve">G11</t>
  </si>
  <si>
    <t xml:space="preserve">2 r/c (2× unrolled), include AEAD — GMU2-v2h</t>
  </si>
  <si>
    <t xml:space="preserve">A20</t>
  </si>
  <si>
    <t xml:space="preserve">Cyclone V</t>
  </si>
  <si>
    <t xml:space="preserve">ALM</t>
  </si>
  <si>
    <t xml:space="preserve">I20</t>
  </si>
  <si>
    <t xml:space="preserve">Cyclone II</t>
  </si>
  <si>
    <t xml:space="preserve">I21</t>
  </si>
  <si>
    <t xml:space="preserve">I01</t>
  </si>
  <si>
    <t xml:space="preserve">Cyclone III</t>
  </si>
  <si>
    <t xml:space="preserve">I12</t>
  </si>
  <si>
    <t xml:space="preserve">[12]</t>
  </si>
  <si>
    <t xml:space="preserve">1 r/c — originale</t>
  </si>
  <si>
    <t xml:space="preserve">I02</t>
  </si>
  <si>
    <t xml:space="preserve">Cyclone IV</t>
  </si>
  <si>
    <t xml:space="preserve">G19</t>
  </si>
  <si>
    <t xml:space="preserve">ripiegato ×8, senza padding — SHA3-v1</t>
  </si>
  <si>
    <t xml:space="preserve">I03</t>
  </si>
  <si>
    <t xml:space="preserve">I30</t>
  </si>
  <si>
    <t xml:space="preserve">[30]</t>
  </si>
  <si>
    <t xml:space="preserve">1 r/c, ingresso 128 bit/ciclo — KECCAK-CORE</t>
  </si>
  <si>
    <t xml:space="preserve">I00</t>
  </si>
  <si>
    <t xml:space="preserve">Arria II</t>
  </si>
  <si>
    <t xml:space="preserve">I40</t>
  </si>
  <si>
    <t xml:space="preserve">[22]</t>
  </si>
  <si>
    <t xml:space="preserve">Arria 10</t>
  </si>
  <si>
    <t xml:space="preserve">pipeline a 2 stadi (VHDL)</t>
  </si>
  <si>
    <t xml:space="preserve">slice (n.d.)</t>
  </si>
  <si>
    <t xml:space="preserve">I41</t>
  </si>
  <si>
    <t xml:space="preserve">[23]</t>
  </si>
  <si>
    <t xml:space="preserve">I42</t>
  </si>
  <si>
    <t xml:space="preserve">pipeline a 2 stadi (VHDL) — con FPH-2</t>
  </si>
  <si>
    <t xml:space="preserve">I04</t>
  </si>
  <si>
    <t xml:space="preserve">Stratix II</t>
  </si>
  <si>
    <t xml:space="preserve">I05</t>
  </si>
  <si>
    <t xml:space="preserve">Stratix III</t>
  </si>
  <si>
    <t xml:space="preserve">I11</t>
  </si>
  <si>
    <t xml:space="preserve">ALUT</t>
  </si>
  <si>
    <t xml:space="preserve">I10</t>
  </si>
  <si>
    <t xml:space="preserve">3 round in 2 cicli — srotolato</t>
  </si>
  <si>
    <t xml:space="preserve">I06</t>
  </si>
  <si>
    <t xml:space="preserve">Stratix IV</t>
  </si>
  <si>
    <t xml:space="preserve">I07</t>
  </si>
  <si>
    <t xml:space="preserve">Stratix V</t>
  </si>
  <si>
    <t xml:space="preserve">Implementazioni HLS pubblicate — fronte di Pareto per famiglia; la libreria AMD (device n.d.) non è filtrabile.</t>
  </si>
  <si>
    <t xml:space="preserve">Righe evidenziate: (1) stessa classe del nostro core — architetture iterative, al più 1 round per ciclo, senza unrolling né pipelining; (2) una sola edizione per benchmark ripetuto; (3) famiglia dichiarata, 7-series / 28 nm o più recente. Non evidenziati: Bensalem et al. (architettura e c non dichiarati, criterio 1 non verificabile) e AMD Vitis Security Library (device non dichiarato, criterio 3 non verificabile; in attesa della risintesi sulla xck26).</t>
  </si>
  <si>
    <t xml:space="preserve">H01</t>
  </si>
  <si>
    <t xml:space="preserve">[9]</t>
  </si>
  <si>
    <t xml:space="preserve">HLS (C)</t>
  </si>
  <si>
    <t xml:space="preserve">H04</t>
  </si>
  <si>
    <t xml:space="preserve">[31]</t>
  </si>
  <si>
    <t xml:space="preserve">HLS (Intel FPGA SDK for OpenCL), dati in memoria locale — kernel VLU</t>
  </si>
  <si>
    <t xml:space="preserve">H02</t>
  </si>
  <si>
    <t xml:space="preserve">[10]</t>
  </si>
  <si>
    <t xml:space="preserve">HLS (C++), libreria vendor — SHA3-256</t>
  </si>
  <si>
    <t xml:space="preserve">Altre architetture — vendor diversi da AMD e Intel. Dati non confrontabili direttamente con gli altri fogli (LUT a 4 ingressi): contesto. Tabella 1: fronte di Pareto su Lattice ECP5 (GMU Round 2).</t>
  </si>
  <si>
    <t xml:space="preserve">Righe evidenziate: (1) stessa classe del nostro core — architetture iterative, al più 1 round per ciclo, senza unrolling né pipelining; (2) una sola edizione per benchmark ripetuto. Nessun criterio sulla famiglia: c’è una sola famiglia con dati completi.</t>
  </si>
  <si>
    <t xml:space="preserve">L13</t>
  </si>
  <si>
    <t xml:space="preserve">ECP5</t>
  </si>
  <si>
    <t xml:space="preserve">1 r/c (basic iterative), include AEAD Ascon-128 — Graz-v1</t>
  </si>
  <si>
    <t xml:space="preserve">LUT4</t>
  </si>
  <si>
    <t xml:space="preserve">L14</t>
  </si>
  <si>
    <t xml:space="preserve">1 r/c (basic iterative), include AEAD Ascon-128a — Graz-v2</t>
  </si>
  <si>
    <t xml:space="preserve">L10</t>
  </si>
  <si>
    <t xml:space="preserve">L11</t>
  </si>
  <si>
    <t xml:space="preserve">L20</t>
  </si>
  <si>
    <t xml:space="preserve">Tabella 2 — Stesso RTL su tre famiglie di tre vendor (GMU Round 2, stesso flusso di benchmark)</t>
  </si>
  <si>
    <t xml:space="preserve">Valori letti dalle righe dei fogli AMD – LUT, Intel e Altre architetture (formule). c è lo stesso sulle tre famiglie, quindi il rapporto dei TP coincide con il rapporto delle Fmax.</t>
  </si>
  <si>
    <t xml:space="preserve">Design</t>
  </si>
  <si>
    <t xml:space="preserve">LUT Artix-7</t>
  </si>
  <si>
    <t xml:space="preserve">LE Cyclone 10 LP</t>
  </si>
  <si>
    <t xml:space="preserve">LUT4 ECP5</t>
  </si>
  <si>
    <t xml:space="preserve">LE / LUT</t>
  </si>
  <si>
    <t xml:space="preserve">LUT4 / LUT</t>
  </si>
  <si>
    <t xml:space="preserve">TP Artix-7 (Mbps)</t>
  </si>
  <si>
    <t xml:space="preserve">TP Cyclone 10 LP (Mbps)</t>
  </si>
  <si>
    <t xml:space="preserve">TP ECP5 (Mbps)</t>
  </si>
  <si>
    <t xml:space="preserve">TP Artix-7 / Cyclone 10 LP</t>
  </si>
  <si>
    <t xml:space="preserve">TP Artix-7 / ECP5</t>
  </si>
  <si>
    <t xml:space="preserve">GMU Round 2, GMU2-v1h</t>
  </si>
  <si>
    <t xml:space="preserve">GMU Round 2, GMU2-v2h</t>
  </si>
  <si>
    <t xml:space="preserve">GMU Round 2, SHA3-v1</t>
  </si>
  <si>
    <t xml:space="preserve">Medie GMU su tutti i design di Round 2 (testo, sez. 5.1): LE Cyclone 10 LP / LUT Artix-7 = 1.88; LUT ECP5 / LUT Artix-7 = 1.77; Fmax Artix-7 / Cyclone 10 LP = 1.72; Fmax Artix-7 / ECP5 = 2.59.</t>
  </si>
  <si>
    <t xml:space="preserve">SHA3-v1 su Cyclone 10 LP: LE 4.29× e FF 12.43× rispetto ad Artix-7, perché lo stato non può stare in RAM distribuita (vedi il commento della cella TP nel foglio Intel).</t>
  </si>
  <si>
    <t xml:space="preserve">Tabella 3 — IP commerciali su Lattice e Microchip (datasheet del vendor, solo area: Fmax e TP non dichiarati)</t>
  </si>
  <si>
    <t xml:space="preserve">IP</t>
  </si>
  <si>
    <t xml:space="preserve">Configurazione</t>
  </si>
  <si>
    <t xml:space="preserve">Area</t>
  </si>
  <si>
    <t xml:space="preserve">C20</t>
  </si>
  <si>
    <t xml:space="preserve">SHA-3</t>
  </si>
  <si>
    <t xml:space="preserve">Xiphera XIP3030C (compatto)</t>
  </si>
  <si>
    <t xml:space="preserve">SHA-3 + SHAKE + cSHAKE</t>
  </si>
  <si>
    <t xml:space="preserve">C21</t>
  </si>
  <si>
    <t xml:space="preserve">CertusPro-NX</t>
  </si>
  <si>
    <t xml:space="preserve">C22</t>
  </si>
  <si>
    <t xml:space="preserve">PolarFire</t>
  </si>
  <si>
    <t xml:space="preserve">C23</t>
  </si>
  <si>
    <t xml:space="preserve">Xiphera XIP2201B (bilanciato)</t>
  </si>
  <si>
    <t xml:space="preserve">Lattice (n.d.)</t>
  </si>
  <si>
    <t xml:space="preserve">AEAD + Hash + XOF</t>
  </si>
  <si>
    <t xml:space="preserve">xck26-sfvc784-2LV-c (KV260): risintesi dei core di riferimento (Vivado 2025.1.1, OOC, post-route, prestazione di picco) e nostro acceleratore (Vitis HLS 2025.1, vincolo 10 ns, post-route). Non filtrato.</t>
  </si>
  <si>
    <t xml:space="preserve">Core</t>
  </si>
  <si>
    <t xml:space="preserve">CLB (= slice)</t>
  </si>
  <si>
    <t xml:space="preserve">TP/LUT (kbps/LUT)</t>
  </si>
  <si>
    <t xml:space="preserve">K01</t>
  </si>
  <si>
    <t xml:space="preserve">ascon-verilog v4, solo hash</t>
  </si>
  <si>
    <t xml:space="preserve">K02</t>
  </si>
  <si>
    <t xml:space="preserve">GMU2 Ascon-128 x1 (BlueLight)</t>
  </si>
  <si>
    <t xml:space="preserve">K03</t>
  </si>
  <si>
    <t xml:space="preserve">Keccak team high-speed v3.1, SHA3-256</t>
  </si>
  <si>
    <t xml:space="preserve">K05</t>
  </si>
  <si>
    <t xml:space="preserve">Nostro: Ascon standalone</t>
  </si>
  <si>
    <t xml:space="preserve">⏳</t>
  </si>
  <si>
    <t xml:space="preserve">K06</t>
  </si>
  <si>
    <t xml:space="preserve">Nostro: SHA-3 standalone</t>
  </si>
  <si>
    <t xml:space="preserve">K07</t>
  </si>
  <si>
    <t xml:space="preserve">Ascon-Hash + SHA3-256</t>
  </si>
  <si>
    <t xml:space="preserve">Nostro: ibrido</t>
  </si>
  <si>
    <t xml:space="preserve">Fonti dei valori: sota-refs/ref_*/summary.csv (risintesi) e logs/hls_run_impl.log dei componenti Vitis (nostro acceleratore). Flusso, vincolo, periodo post-route e RAMB18 nel commento della cella Core.</t>
  </si>
  <si>
    <t xml:space="preserve">SHA-3 confrontato solo su SHA3-256: la risintesi SHA3-512 dello stesso core Keccak team (K04) non è riportata.</t>
  </si>
  <si>
    <t xml:space="preserve">IP commerciali su AMD e Intel (datasheet del vendor): non peer-reviewed, non filtrati. TP calcolato solo dove il vendor dichiara i bit per ciclo. IP su Lattice e Microchip: foglio Altre architetture.</t>
  </si>
  <si>
    <t xml:space="preserve">bit/ciclo dichiarati</t>
  </si>
  <si>
    <t xml:space="preserve">TP (Mbps) = bit/ciclo × f</t>
  </si>
  <si>
    <t xml:space="preserve">C01</t>
  </si>
  <si>
    <t xml:space="preserve">CAST SHA-3</t>
  </si>
  <si>
    <t xml:space="preserve">Spartan-7</t>
  </si>
  <si>
    <t xml:space="preserve">64 bit, 1 round/ciclo, 1 buffer</t>
  </si>
  <si>
    <t xml:space="preserve">C02</t>
  </si>
  <si>
    <t xml:space="preserve">C03</t>
  </si>
  <si>
    <t xml:space="preserve">UltraScale+</t>
  </si>
  <si>
    <t xml:space="preserve">C04</t>
  </si>
  <si>
    <t xml:space="preserve">128 bit, 2 round/ciclo, 2 buffer</t>
  </si>
  <si>
    <t xml:space="preserve">C05</t>
  </si>
  <si>
    <t xml:space="preserve">512 bit, 4 round/ciclo, 2 buffer</t>
  </si>
  <si>
    <t xml:space="preserve">C06</t>
  </si>
  <si>
    <t xml:space="preserve">32 bit, 1 round/ciclo, 0 buffer</t>
  </si>
  <si>
    <t xml:space="preserve">C07</t>
  </si>
  <si>
    <t xml:space="preserve">C08</t>
  </si>
  <si>
    <t xml:space="preserve">Agilex</t>
  </si>
  <si>
    <t xml:space="preserve">C09</t>
  </si>
  <si>
    <t xml:space="preserve">C10</t>
  </si>
  <si>
    <t xml:space="preserve">C11</t>
  </si>
  <si>
    <t xml:space="preserve">CAST ASCON-F</t>
  </si>
  <si>
    <t xml:space="preserve">AEAD + Hash</t>
  </si>
  <si>
    <t xml:space="preserve">C12</t>
  </si>
  <si>
    <t xml:space="preserve">UltraScale</t>
  </si>
  <si>
    <t xml:space="preserve">C13</t>
  </si>
  <si>
    <t xml:space="preserve">C14</t>
  </si>
  <si>
    <t xml:space="preserve">Versal</t>
  </si>
  <si>
    <t xml:space="preserve">C15</t>
  </si>
  <si>
    <t xml:space="preserve">C16</t>
  </si>
  <si>
    <t xml:space="preserve">C17</t>
  </si>
  <si>
    <t xml:space="preserve">C18</t>
  </si>
  <si>
    <t xml:space="preserve">MAX 10</t>
  </si>
  <si>
    <t xml:space="preserve">C19</t>
  </si>
  <si>
    <t xml:space="preserve">1) Punti dominati nel proprio gruppo (stesso metodo, algoritmo, famiglia e unità). Stesse colonne dei fogli dati; ultima colonna: ID dei punti che li dominano.</t>
  </si>
  <si>
    <t xml:space="preserve">Dominato da</t>
  </si>
  <si>
    <t xml:space="preserve">A11</t>
  </si>
  <si>
    <t xml:space="preserve">[5]</t>
  </si>
  <si>
    <t xml:space="preserve">AEAD + Hash (4 modalità)</t>
  </si>
  <si>
    <t xml:space="preserve">A02, A03</t>
  </si>
  <si>
    <t xml:space="preserve">A12</t>
  </si>
  <si>
    <t xml:space="preserve">1 r/c, include AEAD — x1</t>
  </si>
  <si>
    <t xml:space="preserve">A02, A03, A04</t>
  </si>
  <si>
    <t xml:space="preserve">A10</t>
  </si>
  <si>
    <t xml:space="preserve">1 r/c, include AEAD</t>
  </si>
  <si>
    <t xml:space="preserve">A02, A03, A04, A05</t>
  </si>
  <si>
    <t xml:space="preserve">A13</t>
  </si>
  <si>
    <t xml:space="preserve">2 r/c, include AEAD — x2</t>
  </si>
  <si>
    <t xml:space="preserve">A04, A05</t>
  </si>
  <si>
    <t xml:space="preserve">G13</t>
  </si>
  <si>
    <t xml:space="preserve">G14</t>
  </si>
  <si>
    <t xml:space="preserve">G18</t>
  </si>
  <si>
    <t xml:space="preserve">1 r/c (basic iterative), include AEAD — VT-v2</t>
  </si>
  <si>
    <t xml:space="preserve">G15</t>
  </si>
  <si>
    <t xml:space="preserve">2× unrolled, include AEAD — Graz-v3</t>
  </si>
  <si>
    <t xml:space="preserve">G16</t>
  </si>
  <si>
    <t xml:space="preserve">2× unrolled, include AEAD — Graz-v4</t>
  </si>
  <si>
    <t xml:space="preserve">G12</t>
  </si>
  <si>
    <t xml:space="preserve">3 r/c (3× unrolled), include AEAD — GMU2-v3h</t>
  </si>
  <si>
    <t xml:space="preserve">G17</t>
  </si>
  <si>
    <t xml:space="preserve">3× unrolled, include AEAD — Graz-v5</t>
  </si>
  <si>
    <t xml:space="preserve">G10, G11</t>
  </si>
  <si>
    <t xml:space="preserve">L19</t>
  </si>
  <si>
    <t xml:space="preserve">L15</t>
  </si>
  <si>
    <t xml:space="preserve">L16</t>
  </si>
  <si>
    <t xml:space="preserve">L17</t>
  </si>
  <si>
    <t xml:space="preserve">L12</t>
  </si>
  <si>
    <t xml:space="preserve">L18</t>
  </si>
  <si>
    <t xml:space="preserve">4× unrolled, include AEAD — Graz-v6</t>
  </si>
  <si>
    <t xml:space="preserve">L10, L11</t>
  </si>
  <si>
    <t xml:space="preserve">S11</t>
  </si>
  <si>
    <t xml:space="preserve">S31</t>
  </si>
  <si>
    <t xml:space="preserve">1 r/c, pipeline esterna a 2 stadi</t>
  </si>
  <si>
    <t xml:space="preserve">S80</t>
  </si>
  <si>
    <t xml:space="preserve">[19]</t>
  </si>
  <si>
    <t xml:space="preserve">1 r/c (versione base) — 1 stadio</t>
  </si>
  <si>
    <t xml:space="preserve">S51</t>
  </si>
  <si>
    <t xml:space="preserve">[16]</t>
  </si>
  <si>
    <t xml:space="preserve">1 r/c, solo core — senza wrapper</t>
  </si>
  <si>
    <t xml:space="preserve">S90, S91</t>
  </si>
  <si>
    <t xml:space="preserve">S41</t>
  </si>
  <si>
    <t xml:space="preserve">pipeline</t>
  </si>
  <si>
    <t xml:space="preserve">S40</t>
  </si>
  <si>
    <t xml:space="preserve">base</t>
  </si>
  <si>
    <t xml:space="preserve">S90, S91, SA0</t>
  </si>
  <si>
    <t xml:space="preserve">S21</t>
  </si>
  <si>
    <t xml:space="preserve">S32</t>
  </si>
  <si>
    <t xml:space="preserve">S91, SA0</t>
  </si>
  <si>
    <t xml:space="preserve">S12</t>
  </si>
  <si>
    <t xml:space="preserve">S60</t>
  </si>
  <si>
    <t xml:space="preserve">[17]</t>
  </si>
  <si>
    <t xml:space="preserve">pipeline a 2 stadi nel round</t>
  </si>
  <si>
    <t xml:space="preserve">S50</t>
  </si>
  <si>
    <t xml:space="preserve">1 r/c + wrapper/padding — con wrapper</t>
  </si>
  <si>
    <t xml:space="preserve">S20</t>
  </si>
  <si>
    <t xml:space="preserve">S33</t>
  </si>
  <si>
    <t xml:space="preserve">S73</t>
  </si>
  <si>
    <t xml:space="preserve">S77</t>
  </si>
  <si>
    <t xml:space="preserve">S81</t>
  </si>
  <si>
    <t xml:space="preserve">SD1</t>
  </si>
  <si>
    <t xml:space="preserve">S34</t>
  </si>
  <si>
    <t xml:space="preserve">S13</t>
  </si>
  <si>
    <t xml:space="preserve">SB3</t>
  </si>
  <si>
    <t xml:space="preserve">[28]</t>
  </si>
  <si>
    <t xml:space="preserve">SHA-3 standalone — Ref_SHA-3 standalone</t>
  </si>
  <si>
    <t xml:space="preserve">S92, S93</t>
  </si>
  <si>
    <t xml:space="preserve">SA1</t>
  </si>
  <si>
    <t xml:space="preserve">SB0</t>
  </si>
  <si>
    <t xml:space="preserve">[26]</t>
  </si>
  <si>
    <t xml:space="preserve">2 r/c</t>
  </si>
  <si>
    <t xml:space="preserve">SB1</t>
  </si>
  <si>
    <t xml:space="preserve">[27]</t>
  </si>
  <si>
    <t xml:space="preserve">1 r/c, con padder — 24 cicli</t>
  </si>
  <si>
    <t xml:space="preserve">S61</t>
  </si>
  <si>
    <t xml:space="preserve">S35</t>
  </si>
  <si>
    <t xml:space="preserve">SD0</t>
  </si>
  <si>
    <t xml:space="preserve">S14</t>
  </si>
  <si>
    <t xml:space="preserve">SC0</t>
  </si>
  <si>
    <t xml:space="preserve">[25]</t>
  </si>
  <si>
    <t xml:space="preserve">SB2</t>
  </si>
  <si>
    <t xml:space="preserve">datapath condiviso AES/SHA-3, 1 r/c — AES + SHA-3 unificato</t>
  </si>
  <si>
    <t xml:space="preserve">S62</t>
  </si>
  <si>
    <t xml:space="preserve">S94, S95, SA2</t>
  </si>
  <si>
    <t xml:space="preserve">H05</t>
  </si>
  <si>
    <t xml:space="preserve">HLS (OpenCL), dataflow multi-kernel — kernel VDM</t>
  </si>
  <si>
    <t xml:space="preserve">I43</t>
  </si>
  <si>
    <t xml:space="preserve">[24]</t>
  </si>
  <si>
    <t xml:space="preserve">I44</t>
  </si>
  <si>
    <t xml:space="preserve">2) Esclusi per altri motivi</t>
  </si>
  <si>
    <t xml:space="preserve">Rif.</t>
  </si>
  <si>
    <t xml:space="preserve">Dati disponibili</t>
  </si>
  <si>
    <t xml:space="preserve">Motivo</t>
  </si>
  <si>
    <t xml:space="preserve">Kermiche et al. (JCEN 2025)</t>
  </si>
  <si>
    <t xml:space="preserve">KERM</t>
  </si>
  <si>
    <t xml:space="preserve">Virtex-5 / Virtex-6</t>
  </si>
  <si>
    <t xml:space="preserve">1790 / 2238 slice; 573.53 / 676.18 MHz; TP-256 dichiarato 22.29 / 26.27 Gbps</t>
  </si>
  <si>
    <t xml:space="preserve">TP solo multi-messaggio (5 messaggi nella pipeline a 5 stadi); c per messaggio singolo non dichiarato.</t>
  </si>
  <si>
    <t xml:space="preserve">Assad et al., pipeline a 2, 3, 4, 6 stadi</t>
  </si>
  <si>
    <t xml:space="preserve">ASSAD</t>
  </si>
  <si>
    <t xml:space="preserve">2366–6935 slice</t>
  </si>
  <si>
    <t xml:space="preserve">TP multi-messaggio; per messaggio singolo c resta 24 con area maggiore della versione a 1 stadio (inclusa).</t>
  </si>
  <si>
    <t xml:space="preserve">Honda et al., 2/3/4/6 round per ciclo</t>
  </si>
  <si>
    <t xml:space="preserve">HONDA</t>
  </si>
  <si>
    <t xml:space="preserve">14 famiglie</t>
  </si>
  <si>
    <t xml:space="preserve">solo grafici</t>
  </si>
  <si>
    <t xml:space="preserve">Valori numerici non tabulati.</t>
  </si>
  <si>
    <t xml:space="preserve">Sideris et al. 2022 (Springer, Image hashing)</t>
  </si>
  <si>
    <t xml:space="preserve">—</t>
  </si>
  <si>
    <t xml:space="preserve">2984 "slice", 458 MHz, 35593 Mbps</t>
  </si>
  <si>
    <t xml:space="preserve">Solo da fonte secondaria (JENRS 2022, Tab. 8); inoltre dominato da I42.</t>
  </si>
  <si>
    <t xml:space="preserve">Keccak team v1.2 (tabella eHash)</t>
  </si>
  <si>
    <t xml:space="preserve">Cyclone III / Stratix III</t>
  </si>
  <si>
    <t xml:space="preserve">5776 LE, 133 MHz, 7500 Mbit/s; 4713 ALUT, 218 MHz, 12400 Mbit/s</t>
  </si>
  <si>
    <t xml:space="preserve">Keccak v1.x a 18 round (TP/Fmax ≈ 18 cicli con r = 1024): permutazione diversa da FIPS 202. Fonte secondaria.</t>
  </si>
  <si>
    <t xml:space="preserve">Strömbergson (tabella eHash)</t>
  </si>
  <si>
    <t xml:space="preserve">5842 LE, 123 MHz, 7000 Mbit/s; 4550 ALUT, 176 MHz</t>
  </si>
  <si>
    <t xml:space="preserve">Keccak a 18 round; fonte primaria non trovata.</t>
  </si>
  <si>
    <t xml:space="preserve">JRC 2014, FPGA performances in cryptography</t>
  </si>
  <si>
    <t xml:space="preserve">risorse stimate (Fig. 15)</t>
  </si>
  <si>
    <t xml:space="preserve">Kernel OpenCL per attacchi a dizionario; risorse solo stimate dal compilatore.</t>
  </si>
  <si>
    <t xml:space="preserve">Abdulsamad &amp; Répás (Computers 2026)</t>
  </si>
  <si>
    <t xml:space="preserve">area in %</t>
  </si>
  <si>
    <t xml:space="preserve">Area solo in percentuale, BRAM incoerenti tra le tabelle.</t>
  </si>
  <si>
    <t xml:space="preserve">Crypto-RV (arXiv 2602.04415)</t>
  </si>
  <si>
    <t xml:space="preserve">UltraScale+ (ZCU102)</t>
  </si>
  <si>
    <t xml:space="preserve">5329 LUT, 3724 FF, 160 MHz</t>
  </si>
  <si>
    <t xml:space="preserve">Frequenza di funzionamento, non Fmax; TP su messaggi lunghi n.d.</t>
  </si>
  <si>
    <t xml:space="preserve">Unified SHA-3/SHAKE (arXiv 2512.03616)</t>
  </si>
  <si>
    <t xml:space="preserve">3566 LUT, 1645 FF, 20 MHz</t>
  </si>
  <si>
    <t xml:space="preserve">Solo area; TP n.d.</t>
  </si>
  <si>
    <t xml:space="preserve">Gavrilan et al. (TCHES 2024)</t>
  </si>
  <si>
    <t xml:space="preserve">3953 LUT, 222 MHz</t>
  </si>
  <si>
    <t xml:space="preserve">TP su messaggi lunghi n.d.; originale non ancora letto.</t>
  </si>
  <si>
    <t xml:space="preserve">Kandi et al. (ISVLSI 2024)</t>
  </si>
  <si>
    <t xml:space="preserve">847 LUT, 911 FF, 192 MHz</t>
  </si>
  <si>
    <t xml:space="preserve">TP n.d.; Ascon-Hash descritto con 6 round.</t>
  </si>
  <si>
    <t xml:space="preserve">Khan, Lee, Hwang (TRONSHOW 2022)</t>
  </si>
  <si>
    <t xml:space="preserve">Virtex-7 / Virtex-4 / Spartan-6</t>
  </si>
  <si>
    <t xml:space="preserve">Solo AEAD; LUT dichiarati oltre la capacità dei device.</t>
  </si>
  <si>
    <t xml:space="preserve">Alharbi et al. (IEEE Access 2024)</t>
  </si>
  <si>
    <t xml:space="preserve">7-series</t>
  </si>
  <si>
    <t xml:space="preserve">1497–1904 LUT</t>
  </si>
  <si>
    <t xml:space="preserve">Solo AEAD.</t>
  </si>
  <si>
    <t xml:space="preserve">Raphael et al. (Sensors 2025)</t>
  </si>
  <si>
    <t xml:space="preserve">Ascon in software su Arduino.</t>
  </si>
  <si>
    <t xml:space="preserve">Sravani &amp; Durai, Dual-f</t>
  </si>
  <si>
    <t xml:space="preserve">SRAV</t>
  </si>
  <si>
    <t xml:space="preserve">1521 slice; TP SHA3-512 dichiarato 22 900 Mbps; Fmax e c n.d.</t>
  </si>
  <si>
    <t xml:space="preserve">Solo SHA3-512: senza Fmax e c il TP SHA3-256 non è ricalcolabile.</t>
  </si>
  <si>
    <t xml:space="preserve">Sravani &amp; Durai, Cascade-P</t>
  </si>
  <si>
    <t xml:space="preserve">2872 slice; TP SHA3-512 dichiarato 24 430 Mbps; Fmax e c n.d.</t>
  </si>
  <si>
    <t xml:space="preserve">AMD Vitis Security Library, SHA3-512</t>
  </si>
  <si>
    <t xml:space="preserve">AMD-VSL</t>
  </si>
  <si>
    <t xml:space="preserve">39 794 LUT, 32 994 FF; 316.25 MHz; c = 1096 (SHA3-512)</t>
  </si>
  <si>
    <t xml:space="preserve">Solo SHA3-512: la versione SHA3-256 della stessa libreria è nel foglio HLS (H02).</t>
  </si>
  <si>
    <t xml:space="preserve">⏳ Fonti primarie da ricevere: cosa manca e cosa sbloccano.</t>
  </si>
  <si>
    <t xml:space="preserve">Fonte</t>
  </si>
  <si>
    <t xml:space="preserve">Dati mancanti</t>
  </si>
  <si>
    <t xml:space="preserve">Perché serve</t>
  </si>
  <si>
    <t xml:space="preserve">GAJ12</t>
  </si>
  <si>
    <t xml:space="preserve">Gaj et al., ePrint 2012/368</t>
  </si>
  <si>
    <t xml:space="preserve">Keccak-256/512 su Altera (ALUT; Stratix III/IV, Cyclone) e Xilinx (slice)</t>
  </si>
  <si>
    <t xml:space="preserve">Benchmark canonico SHA-3. Stesso problema: PDF non leggibile per intero dal web.</t>
  </si>
  <si>
    <t xml:space="preserve">WONG</t>
  </si>
  <si>
    <t xml:space="preserve">Wong et al., ISCAS 2018</t>
  </si>
  <si>
    <t xml:space="preserve">Le altre 4 varianti (871/153 MHz/24 c; 1393/335; 2145/45; 1416/85 secondo Sideris 2024)</t>
  </si>
  <si>
    <t xml:space="preserve">La variante a 871 slice potrebbe stare sul fronte Virtex-6 a bassa area.</t>
  </si>
  <si>
    <t xml:space="preserve">ELMOUMNI</t>
  </si>
  <si>
    <t xml:space="preserve">El Moumni et al., Microelectronics J. 2019</t>
  </si>
  <si>
    <t xml:space="preserve">Varianti Virtex-5 e a 12 cicli (1365/2144 slice su V5, 3557 su V6 secondo Sideris 2024)</t>
  </si>
  <si>
    <t xml:space="preserve">Possibili punti sul fronte Virtex-5.</t>
  </si>
  <si>
    <t xml:space="preserve">HOMS15</t>
  </si>
  <si>
    <t xml:space="preserve">Homsirikamol &amp; Gaj, ARC 2015</t>
  </si>
  <si>
    <t xml:space="preserve">Area, Fmax e cicli delle versioni HLS e RTL di Keccak</t>
  </si>
  <si>
    <t xml:space="preserve">Riga HLS su Virtex-6.</t>
  </si>
  <si>
    <t xml:space="preserve">JACINTO</t>
  </si>
  <si>
    <t xml:space="preserve">Jacinto et al., MWSCAS 2017</t>
  </si>
  <si>
    <t xml:space="preserve">Area (LUT/slice) e Fmax su Zynq-7000 (2000 Mbps, 70 cicli)</t>
  </si>
  <si>
    <t xml:space="preserve">Riga HLS su Zynq-7000.</t>
  </si>
  <si>
    <t xml:space="preserve">Core compatti citati da Sundal &amp; Chaves (Tab. I): Jungk, San &amp; At, Winderickx, Pereira, Akin</t>
  </si>
  <si>
    <t xml:space="preserve">Valori primari (oggi solo da fonte secondaria)</t>
  </si>
  <si>
    <t xml:space="preserve">Non fanno parte del perimetro di ricerca; potrebbero spostare il fronte Virtex-5 a bassa area.</t>
  </si>
  <si>
    <t xml:space="preserve">N.</t>
  </si>
  <si>
    <t xml:space="preserve">Riferimento</t>
  </si>
  <si>
    <t xml:space="preserve">Accesso</t>
  </si>
  <si>
    <t xml:space="preserve">Link</t>
  </si>
  <si>
    <t xml:space="preserve">GMU-R2</t>
  </si>
  <si>
    <t xml:space="preserve">K. Mohajerani et al., "FPGA Benchmarking of Round 2 Candidates in the NIST Lightweight Cryptography Standardization Process", Cryptology ePrint 2020/1207</t>
  </si>
  <si>
    <t xml:space="preserve">PDF fornito (244 pagine): tabelle Artix-7 e Appendice A (Tab. 22–24, 28, 32, 36) lette il 30/10</t>
  </si>
  <si>
    <t xml:space="preserve">https://eprint.iacr.org/2020/1207</t>
  </si>
  <si>
    <t xml:space="preserve">GMU-FIN</t>
  </si>
  <si>
    <t xml:space="preserve">K. Mohajerani et al., "SCA Evaluation and Benchmarking of Finalists in the NIST LWC Standardization Process", Cryptology ePrint 2023/484</t>
  </si>
  <si>
    <t xml:space="preserve">PDF letto il 23/10</t>
  </si>
  <si>
    <t xml:space="preserve">https://eprint.iacr.org/2023/484</t>
  </si>
  <si>
    <t xml:space="preserve">KHAN23</t>
  </si>
  <si>
    <t xml:space="preserve">S. Khan et al., "Area–Time Efficient Implementation of NIST Lightweight Hash Functions Targeting IoT Applications", IEEE IoT-J 10(9), 2023</t>
  </si>
  <si>
    <t xml:space="preserve">RECO-ASCON</t>
  </si>
  <si>
    <t xml:space="preserve">M. El-Hadedy et al., "RECO-ASCON: Reconfigurable ASCON hash functions for IoT applications", Integration 93, 2023</t>
  </si>
  <si>
    <t xml:space="preserve">PDF nel repo (paper/ascon)</t>
  </si>
  <si>
    <t xml:space="preserve">RECO-HCON</t>
  </si>
  <si>
    <t xml:space="preserve">X. Wei et al., "RECO-HCON: A High-Throughput Reconfigurable Compact ASCON Processor for Trusted IoT", IEEE SOCC 2022</t>
  </si>
  <si>
    <t xml:space="preserve">REZV</t>
  </si>
  <si>
    <t xml:space="preserve">B. Rezvani, F. Coleman, S. Sachin, W. Diehl, "Hardware Implementations of NIST Lightweight Cryptographic Candidates: A First Look", Cryptology ePrint 2019/824 (rev. 2020)</t>
  </si>
  <si>
    <t xml:space="preserve">PDF fornito (versione Round 2)</t>
  </si>
  <si>
    <t xml:space="preserve">https://eprint.iacr.org/2019/824</t>
  </si>
  <si>
    <t xml:space="preserve">KERCK</t>
  </si>
  <si>
    <t xml:space="preserve">S. Kerckhof et al., "Compact FPGA Implementations of the Five SHA-3 Finalists", CARDIS 2011</t>
  </si>
  <si>
    <t xml:space="preserve">CHOUD</t>
  </si>
  <si>
    <t xml:space="preserve">R. Choudhary et al., "ASCON-KECCAK AEAD: A Novel Hardware Architecture for Cryptographic Processing", TechRxiv 2026 (preprint)</t>
  </si>
  <si>
    <t xml:space="preserve">URBANO</t>
  </si>
  <si>
    <t xml:space="preserve">F. A. Urbano-Molano, J. Velasco-Medina, "SHA-3 Implementation for Post-Quantum Cryptography using High-Level Synthesis", SPL 2023</t>
  </si>
  <si>
    <t xml:space="preserve">AMD, Vitis Security Library — SHA-3 (docs v2020.1 / v2026.1)</t>
  </si>
  <si>
    <t xml:space="preserve">documentazione web</t>
  </si>
  <si>
    <t xml:space="preserve">T. Honda, H. Guntur, A. Satoh, "FPGA Implementation of New Standard Hash Function Keccak", IEEE GCCE 2014, pp. 275–279</t>
  </si>
  <si>
    <t xml:space="preserve">PDF fornito</t>
  </si>
  <si>
    <t xml:space="preserve">https://ieeexplore.ieee.org/document/7031105</t>
  </si>
  <si>
    <t xml:space="preserve">GHOL</t>
  </si>
  <si>
    <t xml:space="preserve">A. Gholipour, S. Mirzakuchaki, "Throughput Optimum Architecture of KECCAK Hash Function", IJCEE 4(6), 2012</t>
  </si>
  <si>
    <t xml:space="preserve">IOANNOU</t>
  </si>
  <si>
    <t xml:space="preserve">L. Ioannou, H. E. Michail, A. G. Voyiatzis, "High Performance Pipelined FPGA Implementation of the SHA-3 Hash Algorithm", MECO 2015, pp. 68–71</t>
  </si>
  <si>
    <t xml:space="preserve">PDF fornito / nel repo</t>
  </si>
  <si>
    <t xml:space="preserve">[14]</t>
  </si>
  <si>
    <t xml:space="preserve">A. Kermiche, M. Saoudi, A. Drouiche, "High throughput pipelined implementation of SHA3 hash algorithm on FPGA", J. Cryptogr. Eng. 15:15, 2025</t>
  </si>
  <si>
    <t xml:space="preserve">https://doi.org/10.1007/s13389-025-00379-3</t>
  </si>
  <si>
    <t xml:space="preserve">SUNDAL</t>
  </si>
  <si>
    <t xml:space="preserve">M. Sundal, R. Chaves, "Efficient FPGA Implementation of the SHA-3 Hash Function", IEEE ISVLSI 2017</t>
  </si>
  <si>
    <t xml:space="preserve">PDF nel repo (paper/sha3)</t>
  </si>
  <si>
    <t xml:space="preserve">BALDWIN</t>
  </si>
  <si>
    <t xml:space="preserve">B. Baldwin et al., "FPGA Implementations of the Round Two SHA-3 Candidates", FPL 2010</t>
  </si>
  <si>
    <t xml:space="preserve">ATHAN</t>
  </si>
  <si>
    <t xml:space="preserve">G. S. Athanasiou, G.-P. Makkas, G. Theodoridis, "High Throughput Pipelined FPGA Implementation of the New SHA-3 Cryptographic Hash Algorithm", ISCCSP 2014, pp. 538–541</t>
  </si>
  <si>
    <t xml:space="preserve">KAPS</t>
  </si>
  <si>
    <t xml:space="preserve">J.-P. Kaps et al., "Lightweight Implementations of SHA-3 Finalists on FPGAs" (GMU; sede e anno non riportati nel PDF)</t>
  </si>
  <si>
    <t xml:space="preserve">PDF open access (web)</t>
  </si>
  <si>
    <t xml:space="preserve">https://cryptography.gmu.edu/team/download.php?docid=2003</t>
  </si>
  <si>
    <t xml:space="preserve">F. Assad, M. Fettach, F. El Otmani, A. Tragha, "High-performance FPGA implementation of the secure hash algorithm 3 for single and multi-message processing", IJECE 12(2):1324–1333, 2022</t>
  </si>
  <si>
    <t xml:space="preserve">https://ijece.iaescore.com/index.php/IJECE/article/view/25892</t>
  </si>
  <si>
    <t xml:space="preserve">SID24</t>
  </si>
  <si>
    <t xml:space="preserve">A. Sideris, T. Sanida, M. Dasygenis, "Hardware acceleration design of the SHA-3 for high throughput and low area on FPGA", J. Cryptogr. Eng. 14:193–205, 2024</t>
  </si>
  <si>
    <t xml:space="preserve">https://doi.org/10.1007/s13389-023-00334-0</t>
  </si>
  <si>
    <t xml:space="preserve">SID23</t>
  </si>
  <si>
    <t xml:space="preserve">A. Sideris, T. Sanida, M. Dasygenis, "A Novel Hardware Architecture for Enhancing the Keccak Hash Function in FPGA Devices", Information 14(9):475, 2023</t>
  </si>
  <si>
    <t xml:space="preserve">HTML open access (web)</t>
  </si>
  <si>
    <t xml:space="preserve">https://www.mdpi.com/2078-2489/14/9/475</t>
  </si>
  <si>
    <t xml:space="preserve">SID20</t>
  </si>
  <si>
    <t xml:space="preserve">A. Sideris, T. Sanida, M. Dasygenis, "High Throughput Pipelined Implementation of the SHA-3 Cryptoprocessor", ICM 2020</t>
  </si>
  <si>
    <t xml:space="preserve">SID22</t>
  </si>
  <si>
    <t xml:space="preserve">A. Sideris et al., "Acceleration of Image Processing with SHA-3 (Keccak) Algorithm using FPGA", JENRS 1(7):20–28, 2022</t>
  </si>
  <si>
    <t xml:space="preserve">SIDTECH</t>
  </si>
  <si>
    <t xml:space="preserve">A. Sideris, T. Sanida, M. Dasygenis, "High Throughput Implementation of the Keccak Hash Function Using the Nios-II Processor", Technologies 8(1):15, 2020</t>
  </si>
  <si>
    <t xml:space="preserve">https://www.mdpi.com/2227-7080/8/1/15</t>
  </si>
  <si>
    <t xml:space="preserve">M. M. Sravani, S. A. Durai, "On Efficiency Enhancement of SHA-3 for FPGA-Based Multimodal Biometric Authentication", IEEE TVLSI, 2022</t>
  </si>
  <si>
    <t xml:space="preserve">M. M. Wong, J. Haj-Yahya, S. Sau, A. Chattopadhyay, "A New High Throughput and Area Efficient SHA-3 Implementation", ISCAS 2018</t>
  </si>
  <si>
    <t xml:space="preserve">PDF letto il 23/10 (parziale)</t>
  </si>
  <si>
    <t xml:space="preserve">S. El Moumni, M. Fettach, A. Tragha, "High throughput implementation of SHA3 hash algorithm on FPGA", Microelectronics J. 93:104615, 2019</t>
  </si>
  <si>
    <t xml:space="preserve">KUNDI</t>
  </si>
  <si>
    <t xml:space="preserve">D. Kundi et al., "Resource-Shared Crypto-Coprocessor of AES Enc/Dec With SHA-3", IEEE TCAS-I 67(12), 2020</t>
  </si>
  <si>
    <t xml:space="preserve">RAO19</t>
  </si>
  <si>
    <t xml:space="preserve">M. Rao, T. Newe, I. Grout, "Secure Hash Algorithm-3 (SHA-3) implementation on Xilinx FPGAs, Suitable for IoT Applications", IJSSIS, 2019</t>
  </si>
  <si>
    <t xml:space="preserve">https://core.ac.uk/download/304199727.pdf</t>
  </si>
  <si>
    <t xml:space="preserve">MAACHE</t>
  </si>
  <si>
    <t xml:space="preserve">A. Maache, A. Kalache, "Design and Implementation of a flexible Multi-purpose Cryptographic System on low cost FPGA", IJECES 14(1):45–58, 2023</t>
  </si>
  <si>
    <t xml:space="preserve">https://hrcak.srce.hr/292680</t>
  </si>
  <si>
    <t xml:space="preserve">BENS</t>
  </si>
  <si>
    <t xml:space="preserve">H. Bensalem, Y. Blaquière, Y. Savaria, "An Efficient OpenCL-Based Implementation of a SHA-3 Co-Processor on an FPGA-Centric Platform", IEEE TCAS-II 70(3):1144–1148, 2023</t>
  </si>
  <si>
    <t xml:space="preserve">https://doi.org/10.1109/TCSII.2022.3223179</t>
  </si>
  <si>
    <t xml:space="preserve">[32]</t>
  </si>
  <si>
    <t xml:space="preserve">PRIMAS</t>
  </si>
  <si>
    <t xml:space="preserve">R. Primas, ascon-verilog (SP 800-232)</t>
  </si>
  <si>
    <t xml:space="preserve">risintesi su xck26 (sota-refs)</t>
  </si>
  <si>
    <t xml:space="preserve">https://github.com/rprimas/ascon-verilog</t>
  </si>
  <si>
    <t xml:space="preserve">[33]</t>
  </si>
  <si>
    <t xml:space="preserve">BLUELIGHT</t>
  </si>
  <si>
    <t xml:space="preserve">K. Mohajerani, BlueLight (Bluespec LWC implementations)</t>
  </si>
  <si>
    <t xml:space="preserve">https://github.com/kammoh/bluelight</t>
  </si>
  <si>
    <t xml:space="preserve">[34]</t>
  </si>
  <si>
    <t xml:space="preserve">KECCAK-TEAM</t>
  </si>
  <si>
    <t xml:space="preserve">Keccak team, Keccak hardware implementations v3.1 (high-speed core)</t>
  </si>
  <si>
    <t xml:space="preserve">https://keccak.team/hardware.html</t>
  </si>
  <si>
    <t xml:space="preserve">[35]</t>
  </si>
  <si>
    <t xml:space="preserve">QUESTO LAVORO</t>
  </si>
  <si>
    <t xml:space="preserve">ascon-sha3-hybrid-hls (LOG-004, report hls_impl_pnr / hls_run_impl.log)</t>
  </si>
  <si>
    <t xml:space="preserve">repository</t>
  </si>
  <si>
    <t xml:space="preserve">https://github.com/al3monni/ascon-sha3-hybrid-hls</t>
  </si>
  <si>
    <t xml:space="preserve">[36]</t>
  </si>
  <si>
    <t xml:space="preserve">CAST-SHA3</t>
  </si>
  <si>
    <t xml:space="preserve">CAST Inc., SHA-3 Secure Hash Crypto Engine — product brief AMD / Intel</t>
  </si>
  <si>
    <t xml:space="preserve">datasheet (web)</t>
  </si>
  <si>
    <t xml:space="preserve">https://www.cast-inc.com/pdfs/cast_sha-3-brief-amd.pdf</t>
  </si>
  <si>
    <t xml:space="preserve">[37]</t>
  </si>
  <si>
    <t xml:space="preserve">CAST-ASCON</t>
  </si>
  <si>
    <t xml:space="preserve">CAST Inc., ASCON-F — implementation results</t>
  </si>
  <si>
    <t xml:space="preserve">pagina prodotto (web)</t>
  </si>
  <si>
    <t xml:space="preserve">https://www.cast-inc.com/security/encryption-primitives/ascon-f</t>
  </si>
  <si>
    <t xml:space="preserve">[38]</t>
  </si>
  <si>
    <t xml:space="preserve">XIP3030C</t>
  </si>
  <si>
    <t xml:space="preserve">Xiphera, XIP3030C Compact SHA-3 (pagine Lattice e Microchip)</t>
  </si>
  <si>
    <t xml:space="preserve">https://www.latticesemi.com/products/designsoftwareandip/intellectualproperty/ipcore/xipheracores/xip3030c</t>
  </si>
  <si>
    <t xml:space="preserve">[39]</t>
  </si>
  <si>
    <t xml:space="preserve">XIP2201B</t>
  </si>
  <si>
    <t xml:space="preserve">Xiphera, XIP2201B Balanced Ascon (pagina Lattice)</t>
  </si>
  <si>
    <t xml:space="preserve">https://www.latticesemi.com/products/designsoftwareandip/intellectualproperty/ipcore/xipheracores/xip2201b</t>
  </si>
  <si>
    <t xml:space="preserve">[40]</t>
  </si>
  <si>
    <t xml:space="preserve">RUBATTU</t>
  </si>
  <si>
    <t xml:space="preserve">C. Rubattu, A. Ledda, F. Ratto, C. Jugade, D. Goswami, F. Palumbo, "Integrating FPGA-Based Acceleration in Industrial Motion Control System", IEEE OJIES 6, 2025 — eq. (10)</t>
  </si>
  <si>
    <t xml:space="preserve">PDF nel repo / fornito</t>
  </si>
  <si>
    <t xml:space="preserve">https://doi.org/10.1109/OJIES.2025.3571218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</si>
</sst>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#,##0.0"/>
    <numFmt numFmtId="168" formatCode="#,##0.0&quot; †&quot;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eprint.iacr.org/2020/1207" TargetMode="External"/><Relationship Id="rId2" Type="http://schemas.openxmlformats.org/officeDocument/2006/relationships/hyperlink" Target="https://eprint.iacr.org/2023/484" TargetMode="External"/><Relationship Id="rId3" Type="http://schemas.openxmlformats.org/officeDocument/2006/relationships/hyperlink" Target="https://eprint.iacr.org/2019/824" TargetMode="External"/><Relationship Id="rId4" Type="http://schemas.openxmlformats.org/officeDocument/2006/relationships/hyperlink" Target="https://ieeexplore.ieee.org/document/7031105" TargetMode="External"/><Relationship Id="rId5" Type="http://schemas.openxmlformats.org/officeDocument/2006/relationships/hyperlink" Target="https://doi.org/10.1007/s13389-025-00379-3" TargetMode="External"/><Relationship Id="rId6" Type="http://schemas.openxmlformats.org/officeDocument/2006/relationships/hyperlink" Target="https://cryptography.gmu.edu/team/download.php?docid=2003" TargetMode="External"/><Relationship Id="rId7" Type="http://schemas.openxmlformats.org/officeDocument/2006/relationships/hyperlink" Target="https://ijece.iaescore.com/index.php/IJECE/article/view/25892" TargetMode="External"/><Relationship Id="rId8" Type="http://schemas.openxmlformats.org/officeDocument/2006/relationships/hyperlink" Target="https://doi.org/10.1007/s13389-023-00334-0" TargetMode="External"/><Relationship Id="rId9" Type="http://schemas.openxmlformats.org/officeDocument/2006/relationships/hyperlink" Target="https://www.mdpi.com/2078-2489/14/9/475" TargetMode="External"/><Relationship Id="rId10" Type="http://schemas.openxmlformats.org/officeDocument/2006/relationships/hyperlink" Target="https://www.mdpi.com/2227-7080/8/1/15" TargetMode="External"/><Relationship Id="rId11" Type="http://schemas.openxmlformats.org/officeDocument/2006/relationships/hyperlink" Target="https://core.ac.uk/download/304199727.pdf" TargetMode="External"/><Relationship Id="rId12" Type="http://schemas.openxmlformats.org/officeDocument/2006/relationships/hyperlink" Target="https://hrcak.srce.hr/292680" TargetMode="External"/><Relationship Id="rId13" Type="http://schemas.openxmlformats.org/officeDocument/2006/relationships/hyperlink" Target="https://doi.org/10.1109/TCSII.2022.3223179" TargetMode="External"/><Relationship Id="rId14" Type="http://schemas.openxmlformats.org/officeDocument/2006/relationships/hyperlink" Target="https://github.com/rprimas/ascon-verilog" TargetMode="External"/><Relationship Id="rId15" Type="http://schemas.openxmlformats.org/officeDocument/2006/relationships/hyperlink" Target="https://github.com/kammoh/bluelight" TargetMode="External"/><Relationship Id="rId16" Type="http://schemas.openxmlformats.org/officeDocument/2006/relationships/hyperlink" Target="https://keccak.team/hardware.html" TargetMode="External"/><Relationship Id="rId17" Type="http://schemas.openxmlformats.org/officeDocument/2006/relationships/hyperlink" Target="https://github.com/al3monni/ascon-sha3-hybrid-hls" TargetMode="External"/><Relationship Id="rId18" Type="http://schemas.openxmlformats.org/officeDocument/2006/relationships/hyperlink" Target="https://www.cast-inc.com/pdfs/cast_sha-3-brief-amd.pdf" TargetMode="External"/><Relationship Id="rId19" Type="http://schemas.openxmlformats.org/officeDocument/2006/relationships/hyperlink" Target="https://www.cast-inc.com/security/encryption-primitives/ascon-f" TargetMode="External"/><Relationship Id="rId20" Type="http://schemas.openxmlformats.org/officeDocument/2006/relationships/hyperlink" Target="https://www.latticesemi.com/products/designsoftwareandip/intellectualproperty/ipcore/xipheracores/xip3030c" TargetMode="External"/><Relationship Id="rId21" Type="http://schemas.openxmlformats.org/officeDocument/2006/relationships/hyperlink" Target="https://www.latticesemi.com/products/designsoftwareandip/intellectualproperty/ipcore/xipheracores/xip2201b" TargetMode="External"/><Relationship Id="rId22" Type="http://schemas.openxmlformats.org/officeDocument/2006/relationships/hyperlink" Target="https://doi.org/10.1109/OJIES.2025.357121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4" t="s">
        <v>25</v>
      </c>
      <c r="B30" s="4" t="s">
        <v>26</v>
      </c>
      <c r="C30" s="4" t="s">
        <v>27</v>
      </c>
    </row>
    <row r="31" customFormat="false" ht="15" hidden="false" customHeight="false" outlineLevel="0" collapsed="false">
      <c r="A31" s="5" t="s">
        <v>28</v>
      </c>
      <c r="B31" s="6" t="n">
        <v>64</v>
      </c>
      <c r="C31" s="2" t="s">
        <v>29</v>
      </c>
    </row>
    <row r="32" customFormat="false" ht="15" hidden="false" customHeight="false" outlineLevel="0" collapsed="false">
      <c r="A32" s="5" t="s">
        <v>30</v>
      </c>
      <c r="B32" s="6" t="n">
        <v>1088</v>
      </c>
      <c r="C32" s="2" t="s">
        <v>31</v>
      </c>
    </row>
    <row r="33" customFormat="false" ht="15" hidden="false" customHeight="false" outlineLevel="0" collapsed="false">
      <c r="A33" s="5" t="s">
        <v>32</v>
      </c>
      <c r="B33" s="6" t="n">
        <v>427200</v>
      </c>
      <c r="C33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5" t="s">
        <v>34</v>
      </c>
    </row>
    <row r="2" customFormat="false" ht="15" hidden="false" customHeight="false" outlineLevel="0" collapsed="false">
      <c r="A2" s="2" t="s">
        <v>35</v>
      </c>
    </row>
    <row r="4" customFormat="false" ht="54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</row>
    <row r="5" customFormat="false" ht="15" hidden="false" customHeight="false" outlineLevel="0" collapsed="false">
      <c r="A5" s="8" t="s">
        <v>48</v>
      </c>
      <c r="B5" s="9" t="s">
        <v>49</v>
      </c>
      <c r="C5" s="10" t="s">
        <v>50</v>
      </c>
      <c r="D5" s="9" t="s">
        <v>51</v>
      </c>
      <c r="E5" s="11" t="s">
        <v>52</v>
      </c>
      <c r="F5" s="12" t="n">
        <v>2188</v>
      </c>
      <c r="G5" s="9" t="s">
        <v>53</v>
      </c>
      <c r="H5" s="13" t="s">
        <v>54</v>
      </c>
      <c r="I5" s="14" t="n">
        <v>158.9</v>
      </c>
      <c r="J5" s="15" t="n">
        <v>15</v>
      </c>
      <c r="K5" s="16" t="n">
        <f aca="false">R_ASCON*I5/J5</f>
        <v>677.973333333333</v>
      </c>
      <c r="L5" s="16" t="n">
        <f aca="false">K5/F5*1000</f>
        <v>309.859841560024</v>
      </c>
    </row>
    <row r="6" customFormat="false" ht="15" hidden="false" customHeight="false" outlineLevel="0" collapsed="false">
      <c r="A6" s="8" t="s">
        <v>55</v>
      </c>
      <c r="B6" s="9" t="s">
        <v>49</v>
      </c>
      <c r="C6" s="10" t="s">
        <v>56</v>
      </c>
      <c r="D6" s="9" t="s">
        <v>57</v>
      </c>
      <c r="E6" s="11" t="s">
        <v>58</v>
      </c>
      <c r="F6" s="12" t="n">
        <v>1083</v>
      </c>
      <c r="G6" s="9" t="s">
        <v>53</v>
      </c>
      <c r="H6" s="12" t="n">
        <v>681</v>
      </c>
      <c r="I6" s="14" t="n">
        <v>200</v>
      </c>
      <c r="J6" s="15" t="n">
        <v>25</v>
      </c>
      <c r="K6" s="17" t="n">
        <f aca="false">R_ASCON*I6/J6</f>
        <v>512</v>
      </c>
      <c r="L6" s="16" t="n">
        <f aca="false">K6/F6*1000</f>
        <v>472.760849492151</v>
      </c>
    </row>
    <row r="7" customFormat="false" ht="15" hidden="false" customHeight="false" outlineLevel="0" collapsed="false">
      <c r="A7" s="18" t="s">
        <v>59</v>
      </c>
      <c r="B7" s="18" t="s">
        <v>49</v>
      </c>
      <c r="C7" s="19" t="s">
        <v>60</v>
      </c>
      <c r="D7" s="18" t="s">
        <v>57</v>
      </c>
      <c r="E7" s="20" t="s">
        <v>61</v>
      </c>
      <c r="F7" s="21" t="n">
        <v>1315</v>
      </c>
      <c r="G7" s="18" t="s">
        <v>53</v>
      </c>
      <c r="H7" s="21" t="n">
        <v>863</v>
      </c>
      <c r="I7" s="22" t="n">
        <v>253</v>
      </c>
      <c r="K7" s="23" t="n">
        <v>1247</v>
      </c>
      <c r="L7" s="24" t="n">
        <f aca="false">K7/F7*1000</f>
        <v>948.28897338403</v>
      </c>
    </row>
    <row r="8" customFormat="false" ht="15" hidden="false" customHeight="false" outlineLevel="0" collapsed="false">
      <c r="A8" s="8" t="s">
        <v>62</v>
      </c>
      <c r="B8" s="9" t="s">
        <v>49</v>
      </c>
      <c r="C8" s="10" t="s">
        <v>63</v>
      </c>
      <c r="D8" s="9" t="s">
        <v>57</v>
      </c>
      <c r="E8" s="11" t="s">
        <v>64</v>
      </c>
      <c r="F8" s="12" t="n">
        <v>1375</v>
      </c>
      <c r="G8" s="9" t="s">
        <v>53</v>
      </c>
      <c r="H8" s="12" t="n">
        <v>862</v>
      </c>
      <c r="I8" s="14" t="n">
        <v>276</v>
      </c>
      <c r="J8" s="15" t="n">
        <v>13</v>
      </c>
      <c r="K8" s="16" t="n">
        <f aca="false">R_ASCON*I8/J8</f>
        <v>1358.76923076923</v>
      </c>
      <c r="L8" s="16" t="n">
        <f aca="false">K8/F8*1000</f>
        <v>988.195804195804</v>
      </c>
    </row>
    <row r="9" customFormat="false" ht="15" hidden="false" customHeight="false" outlineLevel="0" collapsed="false">
      <c r="A9" s="18" t="s">
        <v>65</v>
      </c>
      <c r="B9" s="18" t="s">
        <v>49</v>
      </c>
      <c r="C9" s="19" t="s">
        <v>60</v>
      </c>
      <c r="D9" s="18" t="s">
        <v>57</v>
      </c>
      <c r="E9" s="20" t="s">
        <v>66</v>
      </c>
      <c r="F9" s="21" t="n">
        <v>2082</v>
      </c>
      <c r="G9" s="18" t="s">
        <v>53</v>
      </c>
      <c r="H9" s="21" t="n">
        <v>864</v>
      </c>
      <c r="I9" s="22" t="n">
        <v>220</v>
      </c>
      <c r="K9" s="23" t="n">
        <v>2009</v>
      </c>
      <c r="L9" s="24" t="n">
        <f aca="false">K9/F9*1000</f>
        <v>964.937560038425</v>
      </c>
    </row>
    <row r="10" customFormat="false" ht="15" hidden="false" customHeight="false" outlineLevel="0" collapsed="false">
      <c r="A10" s="18" t="s">
        <v>67</v>
      </c>
      <c r="B10" s="18" t="s">
        <v>49</v>
      </c>
      <c r="C10" s="19" t="s">
        <v>63</v>
      </c>
      <c r="D10" s="18" t="s">
        <v>57</v>
      </c>
      <c r="E10" s="20" t="s">
        <v>68</v>
      </c>
      <c r="F10" s="21" t="n">
        <v>2126</v>
      </c>
      <c r="G10" s="18" t="s">
        <v>53</v>
      </c>
      <c r="H10" s="21" t="n">
        <v>861</v>
      </c>
      <c r="I10" s="22" t="n">
        <v>234</v>
      </c>
      <c r="J10" s="25" t="n">
        <v>7</v>
      </c>
      <c r="K10" s="24" t="n">
        <f aca="false">R_ASCON*I10/J10</f>
        <v>2139.42857142857</v>
      </c>
      <c r="L10" s="24" t="n">
        <f aca="false">K10/F10*1000</f>
        <v>1006.31635532859</v>
      </c>
    </row>
    <row r="11" customFormat="false" ht="15" hidden="false" customHeight="false" outlineLevel="0" collapsed="false">
      <c r="A11" s="8" t="s">
        <v>69</v>
      </c>
      <c r="B11" s="9" t="s">
        <v>49</v>
      </c>
      <c r="C11" s="10" t="s">
        <v>70</v>
      </c>
      <c r="D11" s="9" t="s">
        <v>71</v>
      </c>
      <c r="E11" s="11" t="s">
        <v>72</v>
      </c>
      <c r="F11" s="12" t="n">
        <v>773</v>
      </c>
      <c r="G11" s="9" t="s">
        <v>53</v>
      </c>
      <c r="H11" s="13" t="s">
        <v>54</v>
      </c>
      <c r="I11" s="14" t="n">
        <v>272.03</v>
      </c>
      <c r="J11" s="15" t="n">
        <v>12</v>
      </c>
      <c r="K11" s="17" t="n">
        <f aca="false">R_ASCON*I11/J11</f>
        <v>1450.82666666667</v>
      </c>
      <c r="L11" s="16" t="n">
        <f aca="false">K11/F11*1000</f>
        <v>1876.87796463993</v>
      </c>
    </row>
    <row r="12" customFormat="false" ht="15" hidden="false" customHeight="false" outlineLevel="0" collapsed="false">
      <c r="A12" s="26" t="s">
        <v>73</v>
      </c>
      <c r="B12" s="26" t="s">
        <v>49</v>
      </c>
      <c r="C12" s="27" t="s">
        <v>70</v>
      </c>
      <c r="D12" s="26" t="s">
        <v>71</v>
      </c>
      <c r="E12" s="28" t="s">
        <v>74</v>
      </c>
      <c r="F12" s="29" t="n">
        <v>1290</v>
      </c>
      <c r="G12" s="26" t="s">
        <v>53</v>
      </c>
      <c r="H12" s="30" t="s">
        <v>54</v>
      </c>
      <c r="I12" s="31" t="n">
        <v>224.56</v>
      </c>
      <c r="J12" s="32" t="n">
        <v>6</v>
      </c>
      <c r="K12" s="33" t="n">
        <f aca="false">R_ASCON*I12/J12</f>
        <v>2395.30666666667</v>
      </c>
      <c r="L12" s="34" t="n">
        <f aca="false">K12/F12*1000</f>
        <v>1856.82687338501</v>
      </c>
    </row>
    <row r="13" customFormat="false" ht="15" hidden="false" customHeight="false" outlineLevel="0" collapsed="false">
      <c r="A13" s="26" t="s">
        <v>75</v>
      </c>
      <c r="B13" s="26" t="s">
        <v>49</v>
      </c>
      <c r="C13" s="27" t="s">
        <v>70</v>
      </c>
      <c r="D13" s="26" t="s">
        <v>71</v>
      </c>
      <c r="E13" s="28" t="s">
        <v>76</v>
      </c>
      <c r="F13" s="29" t="n">
        <v>2550</v>
      </c>
      <c r="G13" s="26" t="s">
        <v>53</v>
      </c>
      <c r="H13" s="30" t="s">
        <v>54</v>
      </c>
      <c r="I13" s="31" t="n">
        <v>162.68</v>
      </c>
      <c r="J13" s="32" t="n">
        <v>3</v>
      </c>
      <c r="K13" s="33" t="n">
        <f aca="false">R_ASCON*I13/J13</f>
        <v>3470.50666666667</v>
      </c>
      <c r="L13" s="34" t="n">
        <f aca="false">K13/F13*1000</f>
        <v>1360.98300653595</v>
      </c>
    </row>
    <row r="14" customFormat="false" ht="15" hidden="false" customHeight="false" outlineLevel="0" collapsed="false">
      <c r="A14" s="8" t="s">
        <v>77</v>
      </c>
      <c r="B14" s="9" t="s">
        <v>78</v>
      </c>
      <c r="C14" s="10" t="s">
        <v>79</v>
      </c>
      <c r="D14" s="9" t="s">
        <v>80</v>
      </c>
      <c r="E14" s="11" t="s">
        <v>81</v>
      </c>
      <c r="F14" s="12" t="n">
        <v>519</v>
      </c>
      <c r="G14" s="9" t="s">
        <v>53</v>
      </c>
      <c r="H14" s="12" t="n">
        <v>429</v>
      </c>
      <c r="I14" s="14" t="n">
        <v>250</v>
      </c>
      <c r="J14" s="15" t="n">
        <v>2137</v>
      </c>
      <c r="K14" s="17" t="n">
        <f aca="false">R_256*I14/J14</f>
        <v>127.281235376696</v>
      </c>
      <c r="L14" s="16" t="n">
        <f aca="false">K14/F14*1000</f>
        <v>245.24322808612</v>
      </c>
    </row>
    <row r="15" customFormat="false" ht="15" hidden="false" customHeight="false" outlineLevel="0" collapsed="false">
      <c r="A15" s="8" t="s">
        <v>82</v>
      </c>
      <c r="B15" s="9" t="s">
        <v>78</v>
      </c>
      <c r="C15" s="10" t="s">
        <v>63</v>
      </c>
      <c r="D15" s="9" t="s">
        <v>57</v>
      </c>
      <c r="E15" s="11" t="s">
        <v>83</v>
      </c>
      <c r="F15" s="12" t="n">
        <v>1263</v>
      </c>
      <c r="G15" s="9" t="s">
        <v>53</v>
      </c>
      <c r="H15" s="12" t="n">
        <v>277</v>
      </c>
      <c r="I15" s="14" t="n">
        <v>195</v>
      </c>
      <c r="J15" s="15" t="n">
        <v>233</v>
      </c>
      <c r="K15" s="16" t="n">
        <f aca="false">R_256*I15/J15</f>
        <v>910.557939914163</v>
      </c>
      <c r="L15" s="16" t="n">
        <f aca="false">K15/F15*1000</f>
        <v>720.94848765967</v>
      </c>
    </row>
    <row r="16" customFormat="false" ht="15" hidden="false" customHeight="false" outlineLevel="0" collapsed="false">
      <c r="A16" s="8" t="s">
        <v>84</v>
      </c>
      <c r="B16" s="9" t="s">
        <v>78</v>
      </c>
      <c r="C16" s="10" t="s">
        <v>85</v>
      </c>
      <c r="D16" s="9" t="s">
        <v>57</v>
      </c>
      <c r="E16" s="11" t="s">
        <v>86</v>
      </c>
      <c r="F16" s="12" t="n">
        <v>2970</v>
      </c>
      <c r="G16" s="9" t="s">
        <v>53</v>
      </c>
      <c r="H16" s="12" t="n">
        <v>1607</v>
      </c>
      <c r="I16" s="14" t="n">
        <v>244.31</v>
      </c>
      <c r="J16" s="15" t="n">
        <v>25</v>
      </c>
      <c r="K16" s="17" t="n">
        <f aca="false">R_256*I16/J16</f>
        <v>10632.3712</v>
      </c>
      <c r="L16" s="16" t="n">
        <f aca="false">K16/F16*1000</f>
        <v>3579.92296296296</v>
      </c>
    </row>
    <row r="17" customFormat="false" ht="15" hidden="false" customHeight="false" outlineLevel="0" collapsed="false">
      <c r="A17" s="8" t="s">
        <v>87</v>
      </c>
      <c r="B17" s="9" t="s">
        <v>78</v>
      </c>
      <c r="C17" s="10" t="s">
        <v>85</v>
      </c>
      <c r="D17" s="9" t="s">
        <v>88</v>
      </c>
      <c r="E17" s="11" t="s">
        <v>86</v>
      </c>
      <c r="F17" s="12" t="n">
        <v>2970</v>
      </c>
      <c r="G17" s="9" t="s">
        <v>53</v>
      </c>
      <c r="H17" s="12" t="n">
        <v>1607</v>
      </c>
      <c r="I17" s="14" t="n">
        <v>313.47</v>
      </c>
      <c r="J17" s="15" t="n">
        <v>25</v>
      </c>
      <c r="K17" s="17" t="n">
        <f aca="false">R_256*I17/J17</f>
        <v>13642.2144</v>
      </c>
      <c r="L17" s="16" t="n">
        <f aca="false">K17/F17*1000</f>
        <v>4593.33818181818</v>
      </c>
    </row>
  </sheetData>
  <autoFilter ref="A4:L17"/>
  <hyperlinks>
    <hyperlink ref="C5" location="'Fonti'!A7" display="[6]"/>
    <hyperlink ref="C6" location="'Fonti'!A5" display="[4]"/>
    <hyperlink ref="C7" location="'Fonti'!A3" display="[2]"/>
    <hyperlink ref="C8" location="'Fonti'!A2" display="[1]"/>
    <hyperlink ref="C9" location="'Fonti'!A3" display="[2]"/>
    <hyperlink ref="C10" location="'Fonti'!A2" display="[1]"/>
    <hyperlink ref="C11" location="'Fonti'!A4" display="[3]"/>
    <hyperlink ref="C12" location="'Fonti'!A4" display="[3]"/>
    <hyperlink ref="C13" location="'Fonti'!A4" display="[3]"/>
    <hyperlink ref="C14" location="'Fonti'!A8" display="[7]"/>
    <hyperlink ref="C15" location="'Fonti'!A2" display="[1]"/>
    <hyperlink ref="C16" location="'Fonti'!A9" display="[8]"/>
    <hyperlink ref="C17" location="'Fonti'!A9" display="[8]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5" t="s">
        <v>89</v>
      </c>
    </row>
    <row r="2" customFormat="false" ht="15" hidden="false" customHeight="false" outlineLevel="0" collapsed="false">
      <c r="A2" s="2" t="s">
        <v>90</v>
      </c>
    </row>
    <row r="4" customFormat="false" ht="54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</row>
    <row r="5" customFormat="false" ht="15" hidden="false" customHeight="false" outlineLevel="0" collapsed="false">
      <c r="A5" s="26" t="s">
        <v>91</v>
      </c>
      <c r="B5" s="26" t="s">
        <v>78</v>
      </c>
      <c r="C5" s="27" t="s">
        <v>92</v>
      </c>
      <c r="D5" s="26" t="s">
        <v>93</v>
      </c>
      <c r="E5" s="28" t="s">
        <v>94</v>
      </c>
      <c r="F5" s="29" t="n">
        <v>627</v>
      </c>
      <c r="G5" s="26" t="s">
        <v>95</v>
      </c>
      <c r="H5" s="30" t="s">
        <v>54</v>
      </c>
      <c r="I5" s="35" t="n">
        <f aca="false">1000/8.9</f>
        <v>112.359550561798</v>
      </c>
      <c r="J5" s="36"/>
      <c r="K5" s="37" t="n">
        <v>32.5</v>
      </c>
      <c r="L5" s="34" t="n">
        <f aca="false">K5/F5*1000</f>
        <v>51.8341307814992</v>
      </c>
    </row>
    <row r="6" customFormat="false" ht="15" hidden="false" customHeight="false" outlineLevel="0" collapsed="false">
      <c r="A6" s="26" t="s">
        <v>96</v>
      </c>
      <c r="B6" s="26" t="s">
        <v>78</v>
      </c>
      <c r="C6" s="27" t="s">
        <v>92</v>
      </c>
      <c r="D6" s="26" t="s">
        <v>93</v>
      </c>
      <c r="E6" s="28" t="s">
        <v>97</v>
      </c>
      <c r="F6" s="29" t="n">
        <v>766</v>
      </c>
      <c r="G6" s="26" t="s">
        <v>95</v>
      </c>
      <c r="H6" s="30" t="s">
        <v>54</v>
      </c>
      <c r="I6" s="35" t="n">
        <f aca="false">1000/9.83</f>
        <v>101.729399796541</v>
      </c>
      <c r="J6" s="36"/>
      <c r="K6" s="37" t="n">
        <v>46.2</v>
      </c>
      <c r="L6" s="34" t="n">
        <f aca="false">K6/F6*1000</f>
        <v>60.313315926893</v>
      </c>
    </row>
    <row r="7" customFormat="false" ht="15" hidden="false" customHeight="false" outlineLevel="0" collapsed="false">
      <c r="A7" s="26" t="s">
        <v>98</v>
      </c>
      <c r="B7" s="26" t="s">
        <v>78</v>
      </c>
      <c r="C7" s="27" t="s">
        <v>99</v>
      </c>
      <c r="D7" s="26" t="s">
        <v>93</v>
      </c>
      <c r="E7" s="28" t="s">
        <v>100</v>
      </c>
      <c r="F7" s="29" t="n">
        <v>3632</v>
      </c>
      <c r="G7" s="26" t="s">
        <v>95</v>
      </c>
      <c r="H7" s="30" t="s">
        <v>54</v>
      </c>
      <c r="I7" s="31" t="n">
        <v>95.45</v>
      </c>
      <c r="J7" s="32" t="n">
        <v>41</v>
      </c>
      <c r="K7" s="34" t="n">
        <f aca="false">R_256*I7/J7</f>
        <v>2532.91707317073</v>
      </c>
      <c r="L7" s="34" t="n">
        <f aca="false">K7/F7*1000</f>
        <v>697.389061996347</v>
      </c>
    </row>
    <row r="8" customFormat="false" ht="15" hidden="false" customHeight="false" outlineLevel="0" collapsed="false">
      <c r="A8" s="18" t="s">
        <v>101</v>
      </c>
      <c r="B8" s="18" t="s">
        <v>78</v>
      </c>
      <c r="C8" s="19" t="s">
        <v>102</v>
      </c>
      <c r="D8" s="18" t="s">
        <v>103</v>
      </c>
      <c r="E8" s="20" t="s">
        <v>104</v>
      </c>
      <c r="F8" s="21" t="n">
        <v>2365</v>
      </c>
      <c r="G8" s="18" t="s">
        <v>95</v>
      </c>
      <c r="H8" s="38" t="s">
        <v>54</v>
      </c>
      <c r="I8" s="22" t="n">
        <v>273</v>
      </c>
      <c r="J8" s="25" t="n">
        <v>24</v>
      </c>
      <c r="K8" s="24" t="n">
        <f aca="false">R_256*I8/J8</f>
        <v>12376</v>
      </c>
      <c r="L8" s="24" t="n">
        <f aca="false">K8/F8*1000</f>
        <v>5232.98097251586</v>
      </c>
    </row>
    <row r="9" customFormat="false" ht="15" hidden="false" customHeight="false" outlineLevel="0" collapsed="false">
      <c r="A9" s="26" t="s">
        <v>105</v>
      </c>
      <c r="B9" s="26" t="s">
        <v>78</v>
      </c>
      <c r="C9" s="27" t="s">
        <v>92</v>
      </c>
      <c r="D9" s="26" t="s">
        <v>106</v>
      </c>
      <c r="E9" s="28" t="s">
        <v>94</v>
      </c>
      <c r="F9" s="29" t="n">
        <v>159</v>
      </c>
      <c r="G9" s="26" t="s">
        <v>95</v>
      </c>
      <c r="H9" s="30" t="s">
        <v>54</v>
      </c>
      <c r="I9" s="35" t="n">
        <f aca="false">1000/4.04</f>
        <v>247.524752475248</v>
      </c>
      <c r="J9" s="36"/>
      <c r="K9" s="37" t="n">
        <v>71.6</v>
      </c>
      <c r="L9" s="34" t="n">
        <f aca="false">K9/F9*1000</f>
        <v>450.314465408805</v>
      </c>
    </row>
    <row r="10" customFormat="false" ht="15" hidden="false" customHeight="false" outlineLevel="0" collapsed="false">
      <c r="A10" s="26" t="s">
        <v>107</v>
      </c>
      <c r="B10" s="26" t="s">
        <v>78</v>
      </c>
      <c r="C10" s="27" t="s">
        <v>92</v>
      </c>
      <c r="D10" s="26" t="s">
        <v>106</v>
      </c>
      <c r="E10" s="28" t="s">
        <v>97</v>
      </c>
      <c r="F10" s="29" t="n">
        <v>275</v>
      </c>
      <c r="G10" s="26" t="s">
        <v>95</v>
      </c>
      <c r="H10" s="30" t="s">
        <v>54</v>
      </c>
      <c r="I10" s="35" t="n">
        <f aca="false">1000/3.85</f>
        <v>259.74025974026</v>
      </c>
      <c r="J10" s="36"/>
      <c r="K10" s="37" t="n">
        <v>118.1</v>
      </c>
      <c r="L10" s="34" t="n">
        <f aca="false">K10/F10*1000</f>
        <v>429.454545454545</v>
      </c>
    </row>
    <row r="11" customFormat="false" ht="15" hidden="false" customHeight="false" outlineLevel="0" collapsed="false">
      <c r="A11" s="26" t="s">
        <v>108</v>
      </c>
      <c r="B11" s="26" t="s">
        <v>78</v>
      </c>
      <c r="C11" s="27" t="s">
        <v>109</v>
      </c>
      <c r="D11" s="26" t="s">
        <v>106</v>
      </c>
      <c r="E11" s="28" t="s">
        <v>110</v>
      </c>
      <c r="F11" s="29" t="n">
        <v>476</v>
      </c>
      <c r="G11" s="26" t="s">
        <v>95</v>
      </c>
      <c r="H11" s="30" t="s">
        <v>54</v>
      </c>
      <c r="I11" s="31" t="n">
        <v>200</v>
      </c>
      <c r="J11" s="32" t="n">
        <v>96</v>
      </c>
      <c r="K11" s="34" t="n">
        <f aca="false">R_256*I11/J11</f>
        <v>2266.66666666667</v>
      </c>
      <c r="L11" s="34" t="n">
        <f aca="false">K11/F11*1000</f>
        <v>4761.90476190476</v>
      </c>
    </row>
    <row r="12" customFormat="false" ht="15" hidden="false" customHeight="false" outlineLevel="0" collapsed="false">
      <c r="A12" s="26" t="s">
        <v>111</v>
      </c>
      <c r="B12" s="26" t="s">
        <v>78</v>
      </c>
      <c r="C12" s="27" t="s">
        <v>112</v>
      </c>
      <c r="D12" s="26" t="s">
        <v>106</v>
      </c>
      <c r="E12" s="28" t="s">
        <v>113</v>
      </c>
      <c r="F12" s="29" t="n">
        <v>868</v>
      </c>
      <c r="G12" s="26" t="s">
        <v>95</v>
      </c>
      <c r="H12" s="30" t="s">
        <v>54</v>
      </c>
      <c r="I12" s="31" t="n">
        <v>347.49</v>
      </c>
      <c r="J12" s="32" t="n">
        <v>24</v>
      </c>
      <c r="K12" s="34" t="n">
        <f aca="false">R_256*I12/J12</f>
        <v>15752.88</v>
      </c>
      <c r="L12" s="34" t="n">
        <f aca="false">K12/F12*1000</f>
        <v>18148.4792626728</v>
      </c>
    </row>
    <row r="13" customFormat="false" ht="15" hidden="false" customHeight="false" outlineLevel="0" collapsed="false">
      <c r="A13" s="26" t="s">
        <v>114</v>
      </c>
      <c r="B13" s="26" t="s">
        <v>78</v>
      </c>
      <c r="C13" s="27" t="s">
        <v>112</v>
      </c>
      <c r="D13" s="26" t="s">
        <v>106</v>
      </c>
      <c r="E13" s="28" t="s">
        <v>115</v>
      </c>
      <c r="F13" s="29" t="n">
        <v>1112</v>
      </c>
      <c r="G13" s="26" t="s">
        <v>95</v>
      </c>
      <c r="H13" s="30" t="s">
        <v>54</v>
      </c>
      <c r="I13" s="31" t="n">
        <v>203.28</v>
      </c>
      <c r="J13" s="32" t="n">
        <v>12</v>
      </c>
      <c r="K13" s="34" t="n">
        <f aca="false">R_256*I13/J13</f>
        <v>18430.72</v>
      </c>
      <c r="L13" s="34" t="n">
        <f aca="false">K13/F13*1000</f>
        <v>16574.3884892086</v>
      </c>
    </row>
    <row r="14" customFormat="false" ht="15" hidden="false" customHeight="false" outlineLevel="0" collapsed="false">
      <c r="A14" s="26" t="s">
        <v>116</v>
      </c>
      <c r="B14" s="26" t="s">
        <v>78</v>
      </c>
      <c r="C14" s="27" t="s">
        <v>117</v>
      </c>
      <c r="D14" s="26" t="s">
        <v>106</v>
      </c>
      <c r="E14" s="28" t="s">
        <v>118</v>
      </c>
      <c r="F14" s="29" t="n">
        <v>1186</v>
      </c>
      <c r="G14" s="26" t="s">
        <v>95</v>
      </c>
      <c r="H14" s="30" t="s">
        <v>54</v>
      </c>
      <c r="I14" s="31" t="n">
        <v>272.41</v>
      </c>
      <c r="J14" s="36"/>
      <c r="K14" s="37" t="n">
        <v>24699</v>
      </c>
      <c r="L14" s="34" t="n">
        <f aca="false">K14/F14*1000</f>
        <v>20825.4637436762</v>
      </c>
    </row>
    <row r="15" customFormat="false" ht="15" hidden="false" customHeight="false" outlineLevel="0" collapsed="false">
      <c r="A15" s="18" t="s">
        <v>119</v>
      </c>
      <c r="B15" s="18" t="s">
        <v>78</v>
      </c>
      <c r="C15" s="19" t="s">
        <v>92</v>
      </c>
      <c r="D15" s="18" t="s">
        <v>51</v>
      </c>
      <c r="E15" s="20" t="s">
        <v>97</v>
      </c>
      <c r="F15" s="21" t="n">
        <v>113</v>
      </c>
      <c r="G15" s="18" t="s">
        <v>95</v>
      </c>
      <c r="H15" s="38" t="s">
        <v>54</v>
      </c>
      <c r="I15" s="39" t="n">
        <f aca="false">1000/4.95</f>
        <v>202.020202020202</v>
      </c>
      <c r="K15" s="40" t="n">
        <v>91.8</v>
      </c>
      <c r="L15" s="24" t="n">
        <f aca="false">K15/F15*1000</f>
        <v>812.389380530973</v>
      </c>
    </row>
    <row r="16" customFormat="false" ht="15" hidden="false" customHeight="false" outlineLevel="0" collapsed="false">
      <c r="A16" s="18" t="s">
        <v>120</v>
      </c>
      <c r="B16" s="18" t="s">
        <v>78</v>
      </c>
      <c r="C16" s="19" t="s">
        <v>121</v>
      </c>
      <c r="D16" s="18" t="s">
        <v>51</v>
      </c>
      <c r="E16" s="20" t="s">
        <v>122</v>
      </c>
      <c r="F16" s="21" t="n">
        <v>1162</v>
      </c>
      <c r="G16" s="18" t="s">
        <v>95</v>
      </c>
      <c r="H16" s="38" t="s">
        <v>54</v>
      </c>
      <c r="I16" s="22" t="n">
        <v>111.73</v>
      </c>
      <c r="J16" s="25" t="n">
        <v>24</v>
      </c>
      <c r="K16" s="24" t="n">
        <f aca="false">R_256*I16/J16</f>
        <v>5065.09333333333</v>
      </c>
      <c r="L16" s="24" t="n">
        <f aca="false">K16/F16*1000</f>
        <v>4358.94434882387</v>
      </c>
    </row>
    <row r="17" customFormat="false" ht="15" hidden="false" customHeight="false" outlineLevel="0" collapsed="false">
      <c r="A17" s="26" t="s">
        <v>123</v>
      </c>
      <c r="B17" s="26" t="s">
        <v>78</v>
      </c>
      <c r="C17" s="27" t="s">
        <v>92</v>
      </c>
      <c r="D17" s="26" t="s">
        <v>80</v>
      </c>
      <c r="E17" s="28" t="s">
        <v>97</v>
      </c>
      <c r="F17" s="29" t="n">
        <v>106</v>
      </c>
      <c r="G17" s="26" t="s">
        <v>95</v>
      </c>
      <c r="H17" s="30" t="s">
        <v>54</v>
      </c>
      <c r="I17" s="35" t="n">
        <f aca="false">1000/3.34</f>
        <v>299.40119760479</v>
      </c>
      <c r="J17" s="36"/>
      <c r="K17" s="37" t="n">
        <v>136</v>
      </c>
      <c r="L17" s="34" t="n">
        <f aca="false">K17/F17*1000</f>
        <v>1283.01886792453</v>
      </c>
    </row>
    <row r="18" customFormat="false" ht="15" hidden="false" customHeight="false" outlineLevel="0" collapsed="false">
      <c r="A18" s="26" t="s">
        <v>124</v>
      </c>
      <c r="B18" s="26" t="s">
        <v>78</v>
      </c>
      <c r="C18" s="27" t="s">
        <v>112</v>
      </c>
      <c r="D18" s="26" t="s">
        <v>80</v>
      </c>
      <c r="E18" s="28" t="s">
        <v>113</v>
      </c>
      <c r="F18" s="29" t="n">
        <v>946</v>
      </c>
      <c r="G18" s="26" t="s">
        <v>95</v>
      </c>
      <c r="H18" s="30" t="s">
        <v>54</v>
      </c>
      <c r="I18" s="31" t="n">
        <v>438.49</v>
      </c>
      <c r="J18" s="32" t="n">
        <v>24</v>
      </c>
      <c r="K18" s="34" t="n">
        <f aca="false">R_256*I18/J18</f>
        <v>19878.2133333333</v>
      </c>
      <c r="L18" s="34" t="n">
        <f aca="false">K18/F18*1000</f>
        <v>21012.9105003524</v>
      </c>
    </row>
    <row r="19" customFormat="false" ht="15" hidden="false" customHeight="false" outlineLevel="0" collapsed="false">
      <c r="A19" s="26" t="s">
        <v>125</v>
      </c>
      <c r="B19" s="26" t="s">
        <v>78</v>
      </c>
      <c r="C19" s="27" t="s">
        <v>112</v>
      </c>
      <c r="D19" s="26" t="s">
        <v>80</v>
      </c>
      <c r="E19" s="28" t="s">
        <v>115</v>
      </c>
      <c r="F19" s="29" t="n">
        <v>1287</v>
      </c>
      <c r="G19" s="26" t="s">
        <v>95</v>
      </c>
      <c r="H19" s="30" t="s">
        <v>54</v>
      </c>
      <c r="I19" s="31" t="n">
        <v>347.84</v>
      </c>
      <c r="J19" s="32" t="n">
        <v>12</v>
      </c>
      <c r="K19" s="34" t="n">
        <f aca="false">R_256*I19/J19</f>
        <v>31537.4933333333</v>
      </c>
      <c r="L19" s="34" t="n">
        <f aca="false">K19/F19*1000</f>
        <v>24504.6568246568</v>
      </c>
    </row>
    <row r="20" customFormat="false" ht="15" hidden="false" customHeight="false" outlineLevel="0" collapsed="false">
      <c r="A20" s="8" t="s">
        <v>126</v>
      </c>
      <c r="B20" s="9" t="s">
        <v>78</v>
      </c>
      <c r="C20" s="10" t="s">
        <v>112</v>
      </c>
      <c r="D20" s="9" t="s">
        <v>57</v>
      </c>
      <c r="E20" s="11" t="s">
        <v>113</v>
      </c>
      <c r="F20" s="12" t="n">
        <v>902</v>
      </c>
      <c r="G20" s="9" t="s">
        <v>95</v>
      </c>
      <c r="H20" s="13" t="s">
        <v>54</v>
      </c>
      <c r="I20" s="14" t="n">
        <v>397.41</v>
      </c>
      <c r="J20" s="15" t="n">
        <v>24</v>
      </c>
      <c r="K20" s="16" t="n">
        <f aca="false">R_256*I20/J20</f>
        <v>18015.92</v>
      </c>
      <c r="L20" s="16" t="n">
        <f aca="false">K20/F20*1000</f>
        <v>19973.3037694013</v>
      </c>
    </row>
    <row r="21" customFormat="false" ht="15" hidden="false" customHeight="false" outlineLevel="0" collapsed="false">
      <c r="A21" s="18" t="s">
        <v>127</v>
      </c>
      <c r="B21" s="18" t="s">
        <v>78</v>
      </c>
      <c r="C21" s="19" t="s">
        <v>112</v>
      </c>
      <c r="D21" s="18" t="s">
        <v>57</v>
      </c>
      <c r="E21" s="20" t="s">
        <v>115</v>
      </c>
      <c r="F21" s="21" t="n">
        <v>1184</v>
      </c>
      <c r="G21" s="18" t="s">
        <v>95</v>
      </c>
      <c r="H21" s="38" t="s">
        <v>54</v>
      </c>
      <c r="I21" s="22" t="n">
        <v>254.46</v>
      </c>
      <c r="J21" s="25" t="n">
        <v>12</v>
      </c>
      <c r="K21" s="24" t="n">
        <f aca="false">R_256*I21/J21</f>
        <v>23071.04</v>
      </c>
      <c r="L21" s="24" t="n">
        <f aca="false">K21/F21*1000</f>
        <v>19485.6756756757</v>
      </c>
    </row>
    <row r="22" customFormat="false" ht="15" hidden="false" customHeight="false" outlineLevel="0" collapsed="false">
      <c r="A22" s="8" t="s">
        <v>128</v>
      </c>
      <c r="B22" s="9" t="s">
        <v>78</v>
      </c>
      <c r="C22" s="10" t="s">
        <v>121</v>
      </c>
      <c r="D22" s="9" t="s">
        <v>88</v>
      </c>
      <c r="E22" s="11" t="s">
        <v>122</v>
      </c>
      <c r="F22" s="12" t="n">
        <v>1185</v>
      </c>
      <c r="G22" s="9" t="s">
        <v>95</v>
      </c>
      <c r="H22" s="13" t="s">
        <v>54</v>
      </c>
      <c r="I22" s="14" t="n">
        <v>213.17</v>
      </c>
      <c r="J22" s="15" t="n">
        <v>24</v>
      </c>
      <c r="K22" s="16" t="n">
        <f aca="false">R_256*I22/J22</f>
        <v>9663.70666666667</v>
      </c>
      <c r="L22" s="16" t="n">
        <f aca="false">K22/F22*1000</f>
        <v>8155.02672292546</v>
      </c>
    </row>
    <row r="23" customFormat="false" ht="15" hidden="false" customHeight="false" outlineLevel="0" collapsed="false">
      <c r="A23" s="8" t="s">
        <v>129</v>
      </c>
      <c r="B23" s="9" t="s">
        <v>78</v>
      </c>
      <c r="C23" s="10" t="s">
        <v>112</v>
      </c>
      <c r="D23" s="9" t="s">
        <v>71</v>
      </c>
      <c r="E23" s="11" t="s">
        <v>113</v>
      </c>
      <c r="F23" s="12" t="n">
        <v>1094</v>
      </c>
      <c r="G23" s="9" t="s">
        <v>95</v>
      </c>
      <c r="H23" s="13" t="s">
        <v>54</v>
      </c>
      <c r="I23" s="14" t="n">
        <v>498.27</v>
      </c>
      <c r="J23" s="15" t="n">
        <v>24</v>
      </c>
      <c r="K23" s="16" t="n">
        <f aca="false">R_256*I23/J23</f>
        <v>22588.24</v>
      </c>
      <c r="L23" s="16" t="n">
        <f aca="false">K23/F23*1000</f>
        <v>20647.3857404022</v>
      </c>
    </row>
    <row r="24" customFormat="false" ht="15" hidden="false" customHeight="false" outlineLevel="0" collapsed="false">
      <c r="A24" s="18" t="s">
        <v>130</v>
      </c>
      <c r="B24" s="18" t="s">
        <v>78</v>
      </c>
      <c r="C24" s="19" t="s">
        <v>112</v>
      </c>
      <c r="D24" s="18" t="s">
        <v>71</v>
      </c>
      <c r="E24" s="20" t="s">
        <v>115</v>
      </c>
      <c r="F24" s="21" t="n">
        <v>1375</v>
      </c>
      <c r="G24" s="18" t="s">
        <v>95</v>
      </c>
      <c r="H24" s="38" t="s">
        <v>54</v>
      </c>
      <c r="I24" s="22" t="n">
        <v>378.73</v>
      </c>
      <c r="J24" s="25" t="n">
        <v>12</v>
      </c>
      <c r="K24" s="24" t="n">
        <f aca="false">R_256*I24/J24</f>
        <v>34338.1866666667</v>
      </c>
      <c r="L24" s="24" t="n">
        <f aca="false">K24/F24*1000</f>
        <v>24973.2266666667</v>
      </c>
    </row>
    <row r="25" customFormat="false" ht="15" hidden="false" customHeight="false" outlineLevel="0" collapsed="false">
      <c r="A25" s="18" t="s">
        <v>131</v>
      </c>
      <c r="B25" s="18" t="s">
        <v>78</v>
      </c>
      <c r="C25" s="19" t="s">
        <v>117</v>
      </c>
      <c r="D25" s="18" t="s">
        <v>71</v>
      </c>
      <c r="E25" s="20" t="s">
        <v>118</v>
      </c>
      <c r="F25" s="21" t="n">
        <v>1452</v>
      </c>
      <c r="G25" s="18" t="s">
        <v>95</v>
      </c>
      <c r="H25" s="38" t="s">
        <v>54</v>
      </c>
      <c r="I25" s="22" t="n">
        <v>396.28</v>
      </c>
      <c r="K25" s="40" t="n">
        <v>35929</v>
      </c>
      <c r="L25" s="24" t="n">
        <f aca="false">K25/F25*1000</f>
        <v>24744.4903581267</v>
      </c>
    </row>
  </sheetData>
  <autoFilter ref="A4:L25"/>
  <hyperlinks>
    <hyperlink ref="C5" location="'Fonti'!A19" display="[18]"/>
    <hyperlink ref="C6" location="'Fonti'!A19" display="[18]"/>
    <hyperlink ref="C7" location="'Fonti'!A12" display="[11]"/>
    <hyperlink ref="C8" location="'Fonti'!A14" display="[13]"/>
    <hyperlink ref="C9" location="'Fonti'!A19" display="[18]"/>
    <hyperlink ref="C10" location="'Fonti'!A19" display="[18]"/>
    <hyperlink ref="C11" location="'Fonti'!A16" display="[15]"/>
    <hyperlink ref="C12" location="'Fonti'!A21" display="[20]"/>
    <hyperlink ref="C13" location="'Fonti'!A21" display="[20]"/>
    <hyperlink ref="C14" location="'Fonti'!A22" display="[21]"/>
    <hyperlink ref="C15" location="'Fonti'!A19" display="[18]"/>
    <hyperlink ref="C16" location="'Fonti'!A30" display="[29]"/>
    <hyperlink ref="C17" location="'Fonti'!A19" display="[18]"/>
    <hyperlink ref="C18" location="'Fonti'!A21" display="[20]"/>
    <hyperlink ref="C19" location="'Fonti'!A21" display="[20]"/>
    <hyperlink ref="C20" location="'Fonti'!A21" display="[20]"/>
    <hyperlink ref="C21" location="'Fonti'!A21" display="[20]"/>
    <hyperlink ref="C22" location="'Fonti'!A30" display="[29]"/>
    <hyperlink ref="C23" location="'Fonti'!A21" display="[20]"/>
    <hyperlink ref="C24" location="'Fonti'!A21" display="[20]"/>
    <hyperlink ref="C25" location="'Fonti'!A22" display="[21]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5" t="s">
        <v>132</v>
      </c>
    </row>
    <row r="2" customFormat="false" ht="15" hidden="false" customHeight="false" outlineLevel="0" collapsed="false">
      <c r="A2" s="2" t="s">
        <v>133</v>
      </c>
    </row>
    <row r="4" customFormat="false" ht="54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</row>
    <row r="5" customFormat="false" ht="15" hidden="false" customHeight="false" outlineLevel="0" collapsed="false">
      <c r="A5" s="26" t="s">
        <v>134</v>
      </c>
      <c r="B5" s="26" t="s">
        <v>49</v>
      </c>
      <c r="C5" s="27" t="s">
        <v>63</v>
      </c>
      <c r="D5" s="26" t="s">
        <v>135</v>
      </c>
      <c r="E5" s="28" t="s">
        <v>136</v>
      </c>
      <c r="F5" s="29" t="n">
        <v>2415</v>
      </c>
      <c r="G5" s="26" t="s">
        <v>137</v>
      </c>
      <c r="H5" s="29" t="n">
        <v>867</v>
      </c>
      <c r="I5" s="31" t="n">
        <v>175.6</v>
      </c>
      <c r="J5" s="32" t="n">
        <v>13</v>
      </c>
      <c r="K5" s="34" t="n">
        <f aca="false">R_ASCON*I5/J5</f>
        <v>864.492307692308</v>
      </c>
      <c r="L5" s="34" t="n">
        <f aca="false">K5/F5*1000</f>
        <v>357.967829272177</v>
      </c>
    </row>
    <row r="6" customFormat="false" ht="15" hidden="false" customHeight="false" outlineLevel="0" collapsed="false">
      <c r="A6" s="26" t="s">
        <v>138</v>
      </c>
      <c r="B6" s="26" t="s">
        <v>49</v>
      </c>
      <c r="C6" s="27" t="s">
        <v>63</v>
      </c>
      <c r="D6" s="26" t="s">
        <v>135</v>
      </c>
      <c r="E6" s="28" t="s">
        <v>139</v>
      </c>
      <c r="F6" s="29" t="n">
        <v>3215</v>
      </c>
      <c r="G6" s="26" t="s">
        <v>137</v>
      </c>
      <c r="H6" s="29" t="n">
        <v>865</v>
      </c>
      <c r="I6" s="31" t="n">
        <v>134.8</v>
      </c>
      <c r="J6" s="32" t="n">
        <v>7</v>
      </c>
      <c r="K6" s="34" t="n">
        <f aca="false">R_ASCON*I6/J6</f>
        <v>1232.45714285714</v>
      </c>
      <c r="L6" s="34" t="n">
        <f aca="false">K6/F6*1000</f>
        <v>383.345923128194</v>
      </c>
    </row>
    <row r="7" customFormat="false" ht="15" hidden="false" customHeight="false" outlineLevel="0" collapsed="false">
      <c r="A7" s="8" t="s">
        <v>140</v>
      </c>
      <c r="B7" s="9" t="s">
        <v>49</v>
      </c>
      <c r="C7" s="10" t="s">
        <v>50</v>
      </c>
      <c r="D7" s="9" t="s">
        <v>141</v>
      </c>
      <c r="E7" s="11" t="s">
        <v>52</v>
      </c>
      <c r="F7" s="12" t="n">
        <v>1064</v>
      </c>
      <c r="G7" s="9" t="s">
        <v>142</v>
      </c>
      <c r="H7" s="13" t="s">
        <v>54</v>
      </c>
      <c r="I7" s="14" t="n">
        <v>210.5</v>
      </c>
      <c r="J7" s="15" t="n">
        <v>15</v>
      </c>
      <c r="K7" s="16" t="n">
        <f aca="false">R_ASCON*I7/J7</f>
        <v>898.133333333333</v>
      </c>
      <c r="L7" s="16" t="n">
        <f aca="false">K7/F7*1000</f>
        <v>844.110275689223</v>
      </c>
    </row>
    <row r="8" customFormat="false" ht="15" hidden="false" customHeight="false" outlineLevel="0" collapsed="false">
      <c r="A8" s="26" t="s">
        <v>143</v>
      </c>
      <c r="B8" s="26" t="s">
        <v>78</v>
      </c>
      <c r="C8" s="27" t="s">
        <v>92</v>
      </c>
      <c r="D8" s="26" t="s">
        <v>144</v>
      </c>
      <c r="E8" s="28" t="s">
        <v>94</v>
      </c>
      <c r="F8" s="29" t="n">
        <v>996</v>
      </c>
      <c r="G8" s="26" t="s">
        <v>137</v>
      </c>
      <c r="H8" s="30" t="s">
        <v>54</v>
      </c>
      <c r="I8" s="35" t="n">
        <f aca="false">1000/5.48</f>
        <v>182.481751824818</v>
      </c>
      <c r="J8" s="36"/>
      <c r="K8" s="37" t="n">
        <v>52.7</v>
      </c>
      <c r="L8" s="34" t="n">
        <f aca="false">K8/F8*1000</f>
        <v>52.9116465863454</v>
      </c>
    </row>
    <row r="9" customFormat="false" ht="15" hidden="false" customHeight="false" outlineLevel="0" collapsed="false">
      <c r="A9" s="26" t="s">
        <v>145</v>
      </c>
      <c r="B9" s="26" t="s">
        <v>78</v>
      </c>
      <c r="C9" s="27" t="s">
        <v>92</v>
      </c>
      <c r="D9" s="26" t="s">
        <v>144</v>
      </c>
      <c r="E9" s="28" t="s">
        <v>97</v>
      </c>
      <c r="F9" s="29" t="n">
        <v>6247</v>
      </c>
      <c r="G9" s="26" t="s">
        <v>137</v>
      </c>
      <c r="H9" s="30" t="s">
        <v>54</v>
      </c>
      <c r="I9" s="35" t="n">
        <f aca="false">1000/8.49</f>
        <v>117.785630153121</v>
      </c>
      <c r="J9" s="36"/>
      <c r="K9" s="41" t="n">
        <v>53.5</v>
      </c>
      <c r="L9" s="34" t="n">
        <f aca="false">K9/F9*1000</f>
        <v>8.56411077317112</v>
      </c>
    </row>
    <row r="10" customFormat="false" ht="15" hidden="false" customHeight="false" outlineLevel="0" collapsed="false">
      <c r="A10" s="18" t="s">
        <v>146</v>
      </c>
      <c r="B10" s="18" t="s">
        <v>78</v>
      </c>
      <c r="C10" s="19" t="s">
        <v>99</v>
      </c>
      <c r="D10" s="18" t="s">
        <v>147</v>
      </c>
      <c r="E10" s="20" t="s">
        <v>100</v>
      </c>
      <c r="F10" s="21" t="n">
        <v>5636</v>
      </c>
      <c r="G10" s="18" t="s">
        <v>137</v>
      </c>
      <c r="H10" s="38" t="s">
        <v>54</v>
      </c>
      <c r="I10" s="22" t="n">
        <v>53.23</v>
      </c>
      <c r="J10" s="25" t="n">
        <v>41</v>
      </c>
      <c r="K10" s="24" t="n">
        <f aca="false">R_256*I10/J10</f>
        <v>1412.54243902439</v>
      </c>
      <c r="L10" s="24" t="n">
        <f aca="false">K10/F10*1000</f>
        <v>250.628537797088</v>
      </c>
    </row>
    <row r="11" customFormat="false" ht="15" hidden="false" customHeight="false" outlineLevel="0" collapsed="false">
      <c r="A11" s="18" t="s">
        <v>148</v>
      </c>
      <c r="B11" s="18" t="s">
        <v>78</v>
      </c>
      <c r="C11" s="19" t="s">
        <v>149</v>
      </c>
      <c r="D11" s="18" t="s">
        <v>147</v>
      </c>
      <c r="E11" s="20" t="s">
        <v>150</v>
      </c>
      <c r="F11" s="21" t="n">
        <v>5761</v>
      </c>
      <c r="G11" s="18" t="s">
        <v>137</v>
      </c>
      <c r="H11" s="21" t="n">
        <v>2641</v>
      </c>
      <c r="I11" s="22" t="n">
        <v>137.51</v>
      </c>
      <c r="J11" s="25" t="n">
        <v>24</v>
      </c>
      <c r="K11" s="42" t="n">
        <f aca="false">R_256*I11/J11</f>
        <v>6233.78666666667</v>
      </c>
      <c r="L11" s="24" t="n">
        <f aca="false">K11/F11*1000</f>
        <v>1082.06677081525</v>
      </c>
    </row>
    <row r="12" customFormat="false" ht="15" hidden="false" customHeight="false" outlineLevel="0" collapsed="false">
      <c r="A12" s="26" t="s">
        <v>151</v>
      </c>
      <c r="B12" s="26" t="s">
        <v>78</v>
      </c>
      <c r="C12" s="27" t="s">
        <v>99</v>
      </c>
      <c r="D12" s="26" t="s">
        <v>152</v>
      </c>
      <c r="E12" s="28" t="s">
        <v>100</v>
      </c>
      <c r="F12" s="29" t="n">
        <v>5636</v>
      </c>
      <c r="G12" s="26" t="s">
        <v>137</v>
      </c>
      <c r="H12" s="30" t="s">
        <v>54</v>
      </c>
      <c r="I12" s="31" t="n">
        <v>51.76</v>
      </c>
      <c r="J12" s="32" t="n">
        <v>41</v>
      </c>
      <c r="K12" s="34" t="n">
        <f aca="false">R_256*I12/J12</f>
        <v>1373.53365853659</v>
      </c>
      <c r="L12" s="34" t="n">
        <f aca="false">K12/F12*1000</f>
        <v>243.707178590594</v>
      </c>
    </row>
    <row r="13" customFormat="false" ht="15" hidden="false" customHeight="false" outlineLevel="0" collapsed="false">
      <c r="A13" s="18" t="s">
        <v>153</v>
      </c>
      <c r="B13" s="18" t="s">
        <v>78</v>
      </c>
      <c r="C13" s="19" t="s">
        <v>63</v>
      </c>
      <c r="D13" s="18" t="s">
        <v>135</v>
      </c>
      <c r="E13" s="20" t="s">
        <v>154</v>
      </c>
      <c r="F13" s="21" t="n">
        <v>5417</v>
      </c>
      <c r="G13" s="18" t="s">
        <v>137</v>
      </c>
      <c r="H13" s="21" t="n">
        <v>3444</v>
      </c>
      <c r="I13" s="22" t="n">
        <v>84.5</v>
      </c>
      <c r="J13" s="25" t="n">
        <v>233</v>
      </c>
      <c r="K13" s="24" t="n">
        <f aca="false">R_256*I13/J13</f>
        <v>394.575107296137</v>
      </c>
      <c r="L13" s="24" t="n">
        <f aca="false">K13/F13*1000</f>
        <v>72.8401527221963</v>
      </c>
    </row>
    <row r="14" customFormat="false" ht="15" hidden="false" customHeight="false" outlineLevel="0" collapsed="false">
      <c r="A14" s="8" t="s">
        <v>155</v>
      </c>
      <c r="B14" s="9" t="s">
        <v>78</v>
      </c>
      <c r="C14" s="10" t="s">
        <v>99</v>
      </c>
      <c r="D14" s="9" t="s">
        <v>141</v>
      </c>
      <c r="E14" s="11" t="s">
        <v>100</v>
      </c>
      <c r="F14" s="12" t="n">
        <v>2679</v>
      </c>
      <c r="G14" s="9" t="s">
        <v>142</v>
      </c>
      <c r="H14" s="13" t="s">
        <v>54</v>
      </c>
      <c r="I14" s="14" t="n">
        <v>60.11</v>
      </c>
      <c r="J14" s="15" t="n">
        <v>41</v>
      </c>
      <c r="K14" s="16" t="n">
        <f aca="false">R_256*I14/J14</f>
        <v>1595.11414634146</v>
      </c>
      <c r="L14" s="16" t="n">
        <f aca="false">K14/F14*1000</f>
        <v>595.414015058404</v>
      </c>
    </row>
    <row r="15" customFormat="false" ht="15" hidden="false" customHeight="false" outlineLevel="0" collapsed="false">
      <c r="A15" s="8" t="s">
        <v>156</v>
      </c>
      <c r="B15" s="9" t="s">
        <v>78</v>
      </c>
      <c r="C15" s="10" t="s">
        <v>157</v>
      </c>
      <c r="D15" s="9" t="s">
        <v>141</v>
      </c>
      <c r="E15" s="11" t="s">
        <v>158</v>
      </c>
      <c r="F15" s="12" t="n">
        <v>3415</v>
      </c>
      <c r="G15" s="9" t="s">
        <v>142</v>
      </c>
      <c r="H15" s="13" t="s">
        <v>54</v>
      </c>
      <c r="I15" s="14" t="n">
        <v>271.69</v>
      </c>
      <c r="J15" s="43"/>
      <c r="K15" s="44" t="n">
        <v>11000</v>
      </c>
      <c r="L15" s="16" t="n">
        <f aca="false">K15/F15*1000</f>
        <v>3221.08345534407</v>
      </c>
    </row>
    <row r="16" customFormat="false" ht="15" hidden="false" customHeight="false" outlineLevel="0" collapsed="false">
      <c r="A16" s="18" t="s">
        <v>159</v>
      </c>
      <c r="B16" s="18" t="s">
        <v>78</v>
      </c>
      <c r="C16" s="19" t="s">
        <v>99</v>
      </c>
      <c r="D16" s="18" t="s">
        <v>160</v>
      </c>
      <c r="E16" s="20" t="s">
        <v>100</v>
      </c>
      <c r="F16" s="21" t="n">
        <v>2980</v>
      </c>
      <c r="G16" s="18" t="s">
        <v>142</v>
      </c>
      <c r="H16" s="38" t="s">
        <v>54</v>
      </c>
      <c r="I16" s="22" t="n">
        <v>211.24</v>
      </c>
      <c r="J16" s="25" t="n">
        <v>41</v>
      </c>
      <c r="K16" s="24" t="n">
        <f aca="false">R_256*I16/J16</f>
        <v>5605.58829268293</v>
      </c>
      <c r="L16" s="24" t="n">
        <f aca="false">K16/F16*1000</f>
        <v>1881.06989687347</v>
      </c>
    </row>
    <row r="17" customFormat="false" ht="15" hidden="false" customHeight="false" outlineLevel="0" collapsed="false">
      <c r="A17" s="26" t="s">
        <v>161</v>
      </c>
      <c r="B17" s="26" t="s">
        <v>78</v>
      </c>
      <c r="C17" s="27" t="s">
        <v>162</v>
      </c>
      <c r="D17" s="26" t="s">
        <v>163</v>
      </c>
      <c r="E17" s="28" t="s">
        <v>164</v>
      </c>
      <c r="F17" s="29" t="n">
        <v>1422</v>
      </c>
      <c r="G17" s="26" t="s">
        <v>165</v>
      </c>
      <c r="H17" s="30" t="s">
        <v>54</v>
      </c>
      <c r="I17" s="31" t="n">
        <v>498.62</v>
      </c>
      <c r="J17" s="32" t="n">
        <v>48</v>
      </c>
      <c r="K17" s="33" t="n">
        <f aca="false">R_256*I17/J17</f>
        <v>11302.0533333333</v>
      </c>
      <c r="L17" s="34" t="n">
        <f aca="false">K17/F17*1000</f>
        <v>7947.99812470699</v>
      </c>
    </row>
    <row r="18" customFormat="false" ht="15" hidden="false" customHeight="false" outlineLevel="0" collapsed="false">
      <c r="A18" s="26" t="s">
        <v>166</v>
      </c>
      <c r="B18" s="26" t="s">
        <v>78</v>
      </c>
      <c r="C18" s="27" t="s">
        <v>167</v>
      </c>
      <c r="D18" s="26" t="s">
        <v>163</v>
      </c>
      <c r="E18" s="28" t="s">
        <v>164</v>
      </c>
      <c r="F18" s="29" t="n">
        <v>2682</v>
      </c>
      <c r="G18" s="26" t="s">
        <v>165</v>
      </c>
      <c r="H18" s="30" t="s">
        <v>54</v>
      </c>
      <c r="I18" s="31" t="n">
        <v>432</v>
      </c>
      <c r="J18" s="32" t="n">
        <v>18</v>
      </c>
      <c r="K18" s="33" t="n">
        <f aca="false">R_256*I18/J18</f>
        <v>26112</v>
      </c>
      <c r="L18" s="34" t="n">
        <f aca="false">K18/F18*1000</f>
        <v>9736.01789709172</v>
      </c>
    </row>
    <row r="19" customFormat="false" ht="15" hidden="false" customHeight="false" outlineLevel="0" collapsed="false">
      <c r="A19" s="26" t="s">
        <v>168</v>
      </c>
      <c r="B19" s="26" t="s">
        <v>78</v>
      </c>
      <c r="C19" s="27" t="s">
        <v>167</v>
      </c>
      <c r="D19" s="26" t="s">
        <v>163</v>
      </c>
      <c r="E19" s="28" t="s">
        <v>169</v>
      </c>
      <c r="F19" s="29" t="n">
        <v>2764</v>
      </c>
      <c r="G19" s="26" t="s">
        <v>165</v>
      </c>
      <c r="H19" s="30" t="s">
        <v>54</v>
      </c>
      <c r="I19" s="31" t="n">
        <v>472</v>
      </c>
      <c r="J19" s="32" t="n">
        <v>14</v>
      </c>
      <c r="K19" s="33" t="n">
        <f aca="false">R_256*I19/J19</f>
        <v>36681.1428571429</v>
      </c>
      <c r="L19" s="34" t="n">
        <f aca="false">K19/F19*1000</f>
        <v>13271.0357659706</v>
      </c>
    </row>
    <row r="20" customFormat="false" ht="15" hidden="false" customHeight="false" outlineLevel="0" collapsed="false">
      <c r="A20" s="18" t="s">
        <v>170</v>
      </c>
      <c r="B20" s="18" t="s">
        <v>78</v>
      </c>
      <c r="C20" s="19" t="s">
        <v>99</v>
      </c>
      <c r="D20" s="18" t="s">
        <v>171</v>
      </c>
      <c r="E20" s="20" t="s">
        <v>100</v>
      </c>
      <c r="F20" s="21" t="n">
        <v>3732</v>
      </c>
      <c r="G20" s="18" t="s">
        <v>142</v>
      </c>
      <c r="H20" s="38" t="s">
        <v>54</v>
      </c>
      <c r="I20" s="22" t="n">
        <v>86.96</v>
      </c>
      <c r="J20" s="25" t="n">
        <v>41</v>
      </c>
      <c r="K20" s="24" t="n">
        <f aca="false">R_256*I20/J20</f>
        <v>2307.62146341463</v>
      </c>
      <c r="L20" s="24" t="n">
        <f aca="false">K20/F20*1000</f>
        <v>618.333725459441</v>
      </c>
    </row>
    <row r="21" customFormat="false" ht="15" hidden="false" customHeight="false" outlineLevel="0" collapsed="false">
      <c r="A21" s="26" t="s">
        <v>172</v>
      </c>
      <c r="B21" s="26" t="s">
        <v>78</v>
      </c>
      <c r="C21" s="27" t="s">
        <v>99</v>
      </c>
      <c r="D21" s="26" t="s">
        <v>173</v>
      </c>
      <c r="E21" s="28" t="s">
        <v>100</v>
      </c>
      <c r="F21" s="29" t="n">
        <v>3738</v>
      </c>
      <c r="G21" s="26" t="s">
        <v>142</v>
      </c>
      <c r="H21" s="30" t="s">
        <v>54</v>
      </c>
      <c r="I21" s="31" t="n">
        <v>261.85</v>
      </c>
      <c r="J21" s="32" t="n">
        <v>41</v>
      </c>
      <c r="K21" s="34" t="n">
        <f aca="false">R_256*I21/J21</f>
        <v>6948.60487804878</v>
      </c>
      <c r="L21" s="34" t="n">
        <f aca="false">K21/F21*1000</f>
        <v>1858.90981221209</v>
      </c>
    </row>
    <row r="22" customFormat="false" ht="15" hidden="false" customHeight="false" outlineLevel="0" collapsed="false">
      <c r="A22" s="18" t="s">
        <v>174</v>
      </c>
      <c r="B22" s="18" t="s">
        <v>78</v>
      </c>
      <c r="C22" s="19" t="s">
        <v>149</v>
      </c>
      <c r="D22" s="18" t="s">
        <v>173</v>
      </c>
      <c r="E22" s="20" t="s">
        <v>150</v>
      </c>
      <c r="F22" s="21" t="n">
        <v>4304</v>
      </c>
      <c r="G22" s="18" t="s">
        <v>175</v>
      </c>
      <c r="H22" s="21" t="n">
        <v>2641</v>
      </c>
      <c r="I22" s="22" t="n">
        <v>230.57</v>
      </c>
      <c r="J22" s="25" t="n">
        <v>24</v>
      </c>
      <c r="K22" s="42" t="n">
        <f aca="false">R_256*I22/J22</f>
        <v>10452.5066666667</v>
      </c>
      <c r="L22" s="24" t="n">
        <f aca="false">K22/F22*1000</f>
        <v>2428.55638166047</v>
      </c>
    </row>
    <row r="23" customFormat="false" ht="15" hidden="false" customHeight="false" outlineLevel="0" collapsed="false">
      <c r="A23" s="18" t="s">
        <v>176</v>
      </c>
      <c r="B23" s="18" t="s">
        <v>78</v>
      </c>
      <c r="C23" s="19" t="s">
        <v>149</v>
      </c>
      <c r="D23" s="18" t="s">
        <v>173</v>
      </c>
      <c r="E23" s="20" t="s">
        <v>177</v>
      </c>
      <c r="F23" s="21" t="n">
        <v>14402</v>
      </c>
      <c r="G23" s="18" t="s">
        <v>175</v>
      </c>
      <c r="H23" s="21" t="n">
        <v>2653</v>
      </c>
      <c r="I23" s="22" t="n">
        <v>212.49</v>
      </c>
      <c r="J23" s="25" t="n">
        <v>16</v>
      </c>
      <c r="K23" s="42" t="n">
        <f aca="false">R_256*I23/J23</f>
        <v>14449.32</v>
      </c>
      <c r="L23" s="24" t="n">
        <f aca="false">K23/F23*1000</f>
        <v>1003.28565477017</v>
      </c>
    </row>
    <row r="24" customFormat="false" ht="15" hidden="false" customHeight="false" outlineLevel="0" collapsed="false">
      <c r="A24" s="26" t="s">
        <v>178</v>
      </c>
      <c r="B24" s="26" t="s">
        <v>78</v>
      </c>
      <c r="C24" s="27" t="s">
        <v>99</v>
      </c>
      <c r="D24" s="26" t="s">
        <v>179</v>
      </c>
      <c r="E24" s="28" t="s">
        <v>100</v>
      </c>
      <c r="F24" s="29" t="n">
        <v>3675</v>
      </c>
      <c r="G24" s="26" t="s">
        <v>142</v>
      </c>
      <c r="H24" s="30" t="s">
        <v>54</v>
      </c>
      <c r="I24" s="31" t="n">
        <v>278.47</v>
      </c>
      <c r="J24" s="32" t="n">
        <v>41</v>
      </c>
      <c r="K24" s="34" t="n">
        <f aca="false">R_256*I24/J24</f>
        <v>7389.64292682927</v>
      </c>
      <c r="L24" s="34" t="n">
        <f aca="false">K24/F24*1000</f>
        <v>2010.78719097395</v>
      </c>
    </row>
    <row r="25" customFormat="false" ht="15" hidden="false" customHeight="false" outlineLevel="0" collapsed="false">
      <c r="A25" s="8" t="s">
        <v>180</v>
      </c>
      <c r="B25" s="9" t="s">
        <v>78</v>
      </c>
      <c r="C25" s="10" t="s">
        <v>99</v>
      </c>
      <c r="D25" s="9" t="s">
        <v>181</v>
      </c>
      <c r="E25" s="11" t="s">
        <v>100</v>
      </c>
      <c r="F25" s="12" t="n">
        <v>3647</v>
      </c>
      <c r="G25" s="9" t="s">
        <v>142</v>
      </c>
      <c r="H25" s="13" t="s">
        <v>54</v>
      </c>
      <c r="I25" s="14" t="n">
        <v>328.62</v>
      </c>
      <c r="J25" s="15" t="n">
        <v>41</v>
      </c>
      <c r="K25" s="16" t="n">
        <f aca="false">R_256*I25/J25</f>
        <v>8720.45268292683</v>
      </c>
      <c r="L25" s="16" t="n">
        <f aca="false">K25/F25*1000</f>
        <v>2391.13043129335</v>
      </c>
    </row>
  </sheetData>
  <autoFilter ref="A4:L25"/>
  <hyperlinks>
    <hyperlink ref="C5" location="'Fonti'!A2" display="[1]"/>
    <hyperlink ref="C6" location="'Fonti'!A2" display="[1]"/>
    <hyperlink ref="C7" location="'Fonti'!A7" display="[6]"/>
    <hyperlink ref="C8" location="'Fonti'!A19" display="[18]"/>
    <hyperlink ref="C9" location="'Fonti'!A19" display="[18]"/>
    <hyperlink ref="C10" location="'Fonti'!A12" display="[11]"/>
    <hyperlink ref="C11" location="'Fonti'!A13" display="[12]"/>
    <hyperlink ref="C12" location="'Fonti'!A12" display="[11]"/>
    <hyperlink ref="C13" location="'Fonti'!A2" display="[1]"/>
    <hyperlink ref="C14" location="'Fonti'!A12" display="[11]"/>
    <hyperlink ref="C15" location="'Fonti'!A31" display="[30]"/>
    <hyperlink ref="C16" location="'Fonti'!A12" display="[11]"/>
    <hyperlink ref="C17" location="'Fonti'!A23" display="[22]"/>
    <hyperlink ref="C18" location="'Fonti'!A24" display="[23]"/>
    <hyperlink ref="C19" location="'Fonti'!A24" display="[23]"/>
    <hyperlink ref="C20" location="'Fonti'!A12" display="[11]"/>
    <hyperlink ref="C21" location="'Fonti'!A12" display="[11]"/>
    <hyperlink ref="C22" location="'Fonti'!A13" display="[12]"/>
    <hyperlink ref="C23" location="'Fonti'!A13" display="[12]"/>
    <hyperlink ref="C24" location="'Fonti'!A12" display="[11]"/>
    <hyperlink ref="C25" location="'Fonti'!A12" display="[11]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5" t="s">
        <v>182</v>
      </c>
    </row>
    <row r="2" customFormat="false" ht="15" hidden="false" customHeight="false" outlineLevel="0" collapsed="false">
      <c r="A2" s="2" t="s">
        <v>183</v>
      </c>
    </row>
    <row r="4" customFormat="false" ht="54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</row>
    <row r="5" customFormat="false" ht="15" hidden="false" customHeight="false" outlineLevel="0" collapsed="false">
      <c r="A5" s="8" t="s">
        <v>184</v>
      </c>
      <c r="B5" s="9" t="s">
        <v>78</v>
      </c>
      <c r="C5" s="10" t="s">
        <v>185</v>
      </c>
      <c r="D5" s="9" t="s">
        <v>71</v>
      </c>
      <c r="E5" s="11" t="s">
        <v>186</v>
      </c>
      <c r="F5" s="12" t="n">
        <v>6234</v>
      </c>
      <c r="G5" s="9" t="s">
        <v>53</v>
      </c>
      <c r="H5" s="12" t="n">
        <v>2597</v>
      </c>
      <c r="I5" s="14" t="n">
        <v>162.31</v>
      </c>
      <c r="J5" s="15" t="n">
        <v>49</v>
      </c>
      <c r="K5" s="17" t="n">
        <f aca="false">R_256*I5/J5</f>
        <v>3603.94448979592</v>
      </c>
      <c r="L5" s="16" t="n">
        <f aca="false">K5/F5*1000</f>
        <v>578.111082739159</v>
      </c>
    </row>
    <row r="6" customFormat="false" ht="23.85" hidden="false" customHeight="false" outlineLevel="0" collapsed="false">
      <c r="A6" s="18" t="s">
        <v>187</v>
      </c>
      <c r="B6" s="18" t="s">
        <v>78</v>
      </c>
      <c r="C6" s="19" t="s">
        <v>188</v>
      </c>
      <c r="D6" s="18" t="s">
        <v>163</v>
      </c>
      <c r="E6" s="20" t="s">
        <v>189</v>
      </c>
      <c r="F6" s="45" t="n">
        <f aca="false">0.13*A10_GX1150_ALM</f>
        <v>55536</v>
      </c>
      <c r="G6" s="18" t="s">
        <v>142</v>
      </c>
      <c r="H6" s="38" t="s">
        <v>54</v>
      </c>
      <c r="I6" s="22" t="n">
        <v>312</v>
      </c>
      <c r="K6" s="40" t="n">
        <v>22360</v>
      </c>
      <c r="L6" s="24" t="n">
        <f aca="false">K6/F6*1000</f>
        <v>402.621722846442</v>
      </c>
    </row>
    <row r="7" customFormat="false" ht="15" hidden="false" customHeight="false" outlineLevel="0" collapsed="false">
      <c r="A7" s="26" t="s">
        <v>190</v>
      </c>
      <c r="B7" s="26" t="s">
        <v>78</v>
      </c>
      <c r="C7" s="27" t="s">
        <v>191</v>
      </c>
      <c r="D7" s="26" t="s">
        <v>54</v>
      </c>
      <c r="E7" s="28" t="s">
        <v>192</v>
      </c>
      <c r="F7" s="29" t="n">
        <v>44975</v>
      </c>
      <c r="G7" s="26" t="s">
        <v>53</v>
      </c>
      <c r="H7" s="29" t="n">
        <v>36787</v>
      </c>
      <c r="I7" s="31" t="n">
        <v>306.65</v>
      </c>
      <c r="J7" s="32" t="n">
        <v>1104</v>
      </c>
      <c r="K7" s="33" t="n">
        <f aca="false">R_256*I7/J7</f>
        <v>302.205797101449</v>
      </c>
      <c r="L7" s="34" t="n">
        <f aca="false">K7/F7*1000</f>
        <v>6.71941738969315</v>
      </c>
    </row>
  </sheetData>
  <autoFilter ref="A4:L7"/>
  <hyperlinks>
    <hyperlink ref="C5" location="'Fonti'!A10" display="[9]"/>
    <hyperlink ref="C6" location="'Fonti'!A32" display="[31]"/>
    <hyperlink ref="C7" location="'Fonti'!A11" display="[10]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5" t="s">
        <v>193</v>
      </c>
    </row>
    <row r="2" customFormat="false" ht="15" hidden="false" customHeight="false" outlineLevel="0" collapsed="false">
      <c r="A2" s="2" t="s">
        <v>194</v>
      </c>
    </row>
    <row r="4" customFormat="false" ht="54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</row>
    <row r="5" customFormat="false" ht="23.85" hidden="false" customHeight="false" outlineLevel="0" collapsed="false">
      <c r="A5" s="8" t="s">
        <v>195</v>
      </c>
      <c r="B5" s="9" t="s">
        <v>49</v>
      </c>
      <c r="C5" s="10" t="s">
        <v>63</v>
      </c>
      <c r="D5" s="9" t="s">
        <v>196</v>
      </c>
      <c r="E5" s="11" t="s">
        <v>197</v>
      </c>
      <c r="F5" s="12" t="n">
        <v>2544</v>
      </c>
      <c r="G5" s="9" t="s">
        <v>198</v>
      </c>
      <c r="H5" s="12" t="n">
        <v>676</v>
      </c>
      <c r="I5" s="14" t="n">
        <v>59.3</v>
      </c>
      <c r="J5" s="15" t="n">
        <v>14</v>
      </c>
      <c r="K5" s="16" t="n">
        <f aca="false">R_ASCON*I5/J5</f>
        <v>271.085714285714</v>
      </c>
      <c r="L5" s="16" t="n">
        <f aca="false">K5/F5*1000</f>
        <v>106.558849955076</v>
      </c>
    </row>
    <row r="6" customFormat="false" ht="23.85" hidden="false" customHeight="false" outlineLevel="0" collapsed="false">
      <c r="A6" s="8" t="s">
        <v>199</v>
      </c>
      <c r="B6" s="9" t="s">
        <v>49</v>
      </c>
      <c r="C6" s="10" t="s">
        <v>63</v>
      </c>
      <c r="D6" s="9" t="s">
        <v>196</v>
      </c>
      <c r="E6" s="11" t="s">
        <v>200</v>
      </c>
      <c r="F6" s="12" t="n">
        <v>2603</v>
      </c>
      <c r="G6" s="9" t="s">
        <v>198</v>
      </c>
      <c r="H6" s="12" t="n">
        <v>674</v>
      </c>
      <c r="I6" s="14" t="n">
        <v>64</v>
      </c>
      <c r="J6" s="15" t="n">
        <v>14</v>
      </c>
      <c r="K6" s="16" t="n">
        <f aca="false">R_ASCON*I6/J6</f>
        <v>292.571428571429</v>
      </c>
      <c r="L6" s="16" t="n">
        <f aca="false">K6/F6*1000</f>
        <v>112.397782778113</v>
      </c>
    </row>
    <row r="7" customFormat="false" ht="15" hidden="false" customHeight="false" outlineLevel="0" collapsed="false">
      <c r="A7" s="8" t="s">
        <v>201</v>
      </c>
      <c r="B7" s="9" t="s">
        <v>49</v>
      </c>
      <c r="C7" s="10" t="s">
        <v>63</v>
      </c>
      <c r="D7" s="9" t="s">
        <v>196</v>
      </c>
      <c r="E7" s="11" t="s">
        <v>136</v>
      </c>
      <c r="F7" s="12" t="n">
        <v>2928</v>
      </c>
      <c r="G7" s="9" t="s">
        <v>198</v>
      </c>
      <c r="H7" s="12" t="n">
        <v>864</v>
      </c>
      <c r="I7" s="14" t="n">
        <v>110.1</v>
      </c>
      <c r="J7" s="15" t="n">
        <v>13</v>
      </c>
      <c r="K7" s="16" t="n">
        <f aca="false">R_ASCON*I7/J7</f>
        <v>542.030769230769</v>
      </c>
      <c r="L7" s="16" t="n">
        <f aca="false">K7/F7*1000</f>
        <v>185.119798234552</v>
      </c>
    </row>
    <row r="8" customFormat="false" ht="15" hidden="false" customHeight="false" outlineLevel="0" collapsed="false">
      <c r="A8" s="26" t="s">
        <v>202</v>
      </c>
      <c r="B8" s="26" t="s">
        <v>49</v>
      </c>
      <c r="C8" s="27" t="s">
        <v>63</v>
      </c>
      <c r="D8" s="26" t="s">
        <v>196</v>
      </c>
      <c r="E8" s="28" t="s">
        <v>139</v>
      </c>
      <c r="F8" s="29" t="n">
        <v>3764</v>
      </c>
      <c r="G8" s="26" t="s">
        <v>198</v>
      </c>
      <c r="H8" s="29" t="n">
        <v>862</v>
      </c>
      <c r="I8" s="31" t="n">
        <v>89.2</v>
      </c>
      <c r="J8" s="32" t="n">
        <v>7</v>
      </c>
      <c r="K8" s="34" t="n">
        <f aca="false">R_ASCON*I8/J8</f>
        <v>815.542857142857</v>
      </c>
      <c r="L8" s="34" t="n">
        <f aca="false">K8/F8*1000</f>
        <v>216.669196902991</v>
      </c>
    </row>
    <row r="9" customFormat="false" ht="15" hidden="false" customHeight="false" outlineLevel="0" collapsed="false">
      <c r="A9" s="8" t="s">
        <v>203</v>
      </c>
      <c r="B9" s="9" t="s">
        <v>78</v>
      </c>
      <c r="C9" s="10" t="s">
        <v>63</v>
      </c>
      <c r="D9" s="9" t="s">
        <v>196</v>
      </c>
      <c r="E9" s="11" t="s">
        <v>154</v>
      </c>
      <c r="F9" s="12" t="n">
        <v>1804</v>
      </c>
      <c r="G9" s="9" t="s">
        <v>198</v>
      </c>
      <c r="H9" s="12" t="n">
        <v>249</v>
      </c>
      <c r="I9" s="14" t="n">
        <v>90.3</v>
      </c>
      <c r="J9" s="15" t="n">
        <v>233</v>
      </c>
      <c r="K9" s="16" t="n">
        <f aca="false">R_256*I9/J9</f>
        <v>421.658369098712</v>
      </c>
      <c r="L9" s="16" t="n">
        <f aca="false">K9/F9*1000</f>
        <v>233.735237859597</v>
      </c>
    </row>
    <row r="11" customFormat="false" ht="15" hidden="false" customHeight="false" outlineLevel="0" collapsed="false">
      <c r="A11" s="3" t="s">
        <v>204</v>
      </c>
    </row>
    <row r="12" customFormat="false" ht="15" hidden="false" customHeight="false" outlineLevel="0" collapsed="false">
      <c r="A12" s="2" t="s">
        <v>205</v>
      </c>
    </row>
    <row r="13" customFormat="false" ht="42" hidden="false" customHeight="true" outlineLevel="0" collapsed="false">
      <c r="A13" s="7" t="s">
        <v>206</v>
      </c>
      <c r="B13" s="7" t="s">
        <v>37</v>
      </c>
      <c r="C13" s="7" t="s">
        <v>207</v>
      </c>
      <c r="D13" s="7" t="s">
        <v>208</v>
      </c>
      <c r="E13" s="7" t="s">
        <v>209</v>
      </c>
      <c r="F13" s="7" t="s">
        <v>210</v>
      </c>
      <c r="G13" s="7" t="s">
        <v>211</v>
      </c>
      <c r="H13" s="7" t="s">
        <v>212</v>
      </c>
      <c r="I13" s="7" t="s">
        <v>213</v>
      </c>
      <c r="J13" s="7" t="s">
        <v>214</v>
      </c>
      <c r="K13" s="7" t="s">
        <v>215</v>
      </c>
      <c r="L13" s="7" t="s">
        <v>216</v>
      </c>
    </row>
    <row r="14" customFormat="false" ht="15" hidden="false" customHeight="false" outlineLevel="0" collapsed="false">
      <c r="A14" s="19" t="s">
        <v>217</v>
      </c>
      <c r="B14" s="2" t="s">
        <v>49</v>
      </c>
      <c r="C14" s="46" t="n">
        <f aca="false">'AMD – LUT'!F8</f>
        <v>1375</v>
      </c>
      <c r="D14" s="46" t="n">
        <f aca="false">Intel!F5</f>
        <v>2415</v>
      </c>
      <c r="E14" s="46" t="n">
        <f aca="false">'Altre architetture'!F7</f>
        <v>2928</v>
      </c>
      <c r="F14" s="47" t="n">
        <f aca="false">D14/C14</f>
        <v>1.75636363636364</v>
      </c>
      <c r="G14" s="47" t="n">
        <f aca="false">E14/C14</f>
        <v>2.12945454545455</v>
      </c>
      <c r="H14" s="48" t="n">
        <f aca="false">'AMD – LUT'!K8</f>
        <v>1358.76923076923</v>
      </c>
      <c r="I14" s="48" t="n">
        <f aca="false">Intel!K5</f>
        <v>864.492307692308</v>
      </c>
      <c r="J14" s="48" t="n">
        <f aca="false">'Altre architetture'!K7</f>
        <v>542.030769230769</v>
      </c>
      <c r="K14" s="47" t="n">
        <f aca="false">H14/I14</f>
        <v>1.57175398633257</v>
      </c>
      <c r="L14" s="47" t="n">
        <f aca="false">H14/J14</f>
        <v>2.50681198910082</v>
      </c>
    </row>
    <row r="15" customFormat="false" ht="15" hidden="false" customHeight="false" outlineLevel="0" collapsed="false">
      <c r="A15" s="19" t="s">
        <v>218</v>
      </c>
      <c r="B15" s="2" t="s">
        <v>49</v>
      </c>
      <c r="C15" s="46" t="n">
        <f aca="false">'AMD – LUT'!F10</f>
        <v>2126</v>
      </c>
      <c r="D15" s="46" t="n">
        <f aca="false">Intel!F6</f>
        <v>3215</v>
      </c>
      <c r="E15" s="46" t="n">
        <f aca="false">'Altre architetture'!F8</f>
        <v>3764</v>
      </c>
      <c r="F15" s="47" t="n">
        <f aca="false">D15/C15</f>
        <v>1.51222953904045</v>
      </c>
      <c r="G15" s="47" t="n">
        <f aca="false">E15/C15</f>
        <v>1.77046095954845</v>
      </c>
      <c r="H15" s="48" t="n">
        <f aca="false">'AMD – LUT'!K10</f>
        <v>2139.42857142857</v>
      </c>
      <c r="I15" s="48" t="n">
        <f aca="false">Intel!K6</f>
        <v>1232.45714285714</v>
      </c>
      <c r="J15" s="48" t="n">
        <f aca="false">'Altre architetture'!K8</f>
        <v>815.542857142857</v>
      </c>
      <c r="K15" s="47" t="n">
        <f aca="false">H15/I15</f>
        <v>1.73590504451039</v>
      </c>
      <c r="L15" s="47" t="n">
        <f aca="false">H15/J15</f>
        <v>2.62331838565022</v>
      </c>
    </row>
    <row r="16" customFormat="false" ht="15" hidden="false" customHeight="false" outlineLevel="0" collapsed="false">
      <c r="A16" s="19" t="s">
        <v>219</v>
      </c>
      <c r="B16" s="2" t="s">
        <v>78</v>
      </c>
      <c r="C16" s="46" t="n">
        <f aca="false">'AMD – LUT'!F15</f>
        <v>1263</v>
      </c>
      <c r="D16" s="46" t="n">
        <f aca="false">Intel!F13</f>
        <v>5417</v>
      </c>
      <c r="E16" s="46" t="n">
        <f aca="false">'Altre architetture'!F9</f>
        <v>1804</v>
      </c>
      <c r="F16" s="47" t="n">
        <f aca="false">D16/C16</f>
        <v>4.28899445764054</v>
      </c>
      <c r="G16" s="47" t="n">
        <f aca="false">E16/C16</f>
        <v>1.42834520981789</v>
      </c>
      <c r="H16" s="48" t="n">
        <f aca="false">'AMD – LUT'!K15</f>
        <v>910.557939914163</v>
      </c>
      <c r="I16" s="48" t="n">
        <f aca="false">Intel!K13</f>
        <v>394.575107296137</v>
      </c>
      <c r="J16" s="48" t="n">
        <f aca="false">'Altre architetture'!K9</f>
        <v>421.658369098712</v>
      </c>
      <c r="K16" s="47" t="n">
        <f aca="false">H16/I16</f>
        <v>2.30769230769231</v>
      </c>
      <c r="L16" s="47" t="n">
        <f aca="false">H16/J16</f>
        <v>2.15946843853821</v>
      </c>
    </row>
    <row r="17" customFormat="false" ht="15" hidden="false" customHeight="false" outlineLevel="0" collapsed="false">
      <c r="A17" s="2" t="s">
        <v>220</v>
      </c>
    </row>
    <row r="18" customFormat="false" ht="15" hidden="false" customHeight="false" outlineLevel="0" collapsed="false">
      <c r="A18" s="2" t="s">
        <v>221</v>
      </c>
    </row>
    <row r="20" customFormat="false" ht="15" hidden="false" customHeight="false" outlineLevel="0" collapsed="false">
      <c r="A20" s="3" t="s">
        <v>222</v>
      </c>
    </row>
    <row r="21" customFormat="false" ht="15" hidden="false" customHeight="false" outlineLevel="0" collapsed="false">
      <c r="A21" s="7" t="s">
        <v>36</v>
      </c>
      <c r="B21" s="7" t="s">
        <v>37</v>
      </c>
      <c r="C21" s="7" t="s">
        <v>223</v>
      </c>
      <c r="D21" s="7" t="s">
        <v>39</v>
      </c>
      <c r="E21" s="7" t="s">
        <v>224</v>
      </c>
      <c r="F21" s="7" t="s">
        <v>225</v>
      </c>
      <c r="G21" s="7" t="s">
        <v>42</v>
      </c>
    </row>
    <row r="22" customFormat="false" ht="15" hidden="false" customHeight="false" outlineLevel="0" collapsed="false">
      <c r="A22" s="2" t="s">
        <v>226</v>
      </c>
      <c r="B22" s="2" t="s">
        <v>227</v>
      </c>
      <c r="C22" s="49" t="s">
        <v>228</v>
      </c>
      <c r="D22" s="2" t="s">
        <v>196</v>
      </c>
      <c r="E22" s="20" t="s">
        <v>229</v>
      </c>
      <c r="F22" s="6" t="n">
        <v>1278</v>
      </c>
      <c r="G22" s="2" t="s">
        <v>198</v>
      </c>
    </row>
    <row r="23" customFormat="false" ht="15" hidden="false" customHeight="false" outlineLevel="0" collapsed="false">
      <c r="A23" s="2" t="s">
        <v>230</v>
      </c>
      <c r="B23" s="2" t="s">
        <v>227</v>
      </c>
      <c r="C23" s="49" t="s">
        <v>228</v>
      </c>
      <c r="D23" s="2" t="s">
        <v>231</v>
      </c>
      <c r="E23" s="20" t="s">
        <v>229</v>
      </c>
      <c r="F23" s="6" t="n">
        <v>1245</v>
      </c>
      <c r="G23" s="2" t="s">
        <v>198</v>
      </c>
    </row>
    <row r="24" customFormat="false" ht="15" hidden="false" customHeight="false" outlineLevel="0" collapsed="false">
      <c r="A24" s="2" t="s">
        <v>232</v>
      </c>
      <c r="B24" s="2" t="s">
        <v>227</v>
      </c>
      <c r="C24" s="49" t="s">
        <v>228</v>
      </c>
      <c r="D24" s="2" t="s">
        <v>233</v>
      </c>
      <c r="E24" s="20" t="s">
        <v>229</v>
      </c>
      <c r="F24" s="6" t="n">
        <v>1853</v>
      </c>
      <c r="G24" s="2" t="s">
        <v>198</v>
      </c>
    </row>
    <row r="25" customFormat="false" ht="15" hidden="false" customHeight="false" outlineLevel="0" collapsed="false">
      <c r="A25" s="2" t="s">
        <v>234</v>
      </c>
      <c r="B25" s="2" t="s">
        <v>49</v>
      </c>
      <c r="C25" s="49" t="s">
        <v>235</v>
      </c>
      <c r="D25" s="2" t="s">
        <v>236</v>
      </c>
      <c r="E25" s="20" t="s">
        <v>237</v>
      </c>
      <c r="F25" s="6" t="n">
        <v>4665</v>
      </c>
      <c r="G25" s="2" t="s">
        <v>198</v>
      </c>
    </row>
  </sheetData>
  <autoFilter ref="A4:L9"/>
  <hyperlinks>
    <hyperlink ref="C5" location="'Fonti'!A2" display="[1]"/>
    <hyperlink ref="C6" location="'Fonti'!A2" display="[1]"/>
    <hyperlink ref="C7" location="'Fonti'!A2" display="[1]"/>
    <hyperlink ref="C8" location="'Fonti'!A2" display="[1]"/>
    <hyperlink ref="C9" location="'Fonti'!A2" display="[1]"/>
    <hyperlink ref="A14" location="'Fonti'!A2" display="GMU Round 2, GMU2-v1h"/>
    <hyperlink ref="A15" location="'Fonti'!A2" display="GMU Round 2, GMU2-v2h"/>
    <hyperlink ref="A16" location="'Fonti'!A2" display="GMU Round 2, SHA3-v1"/>
    <hyperlink ref="C22" location="'Fonti'!A39" display="Xiphera XIP3030C (compatto)"/>
    <hyperlink ref="C23" location="'Fonti'!A39" display="Xiphera XIP3030C (compatto)"/>
    <hyperlink ref="C24" location="'Fonti'!A39" display="Xiphera XIP3030C (compatto)"/>
    <hyperlink ref="C25" location="'Fonti'!A40" display="Xiphera XIP2201B (bilanciato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5" t="s">
        <v>238</v>
      </c>
    </row>
    <row r="2" customFormat="false" ht="54" hidden="false" customHeight="true" outlineLevel="0" collapsed="false">
      <c r="A2" s="7" t="s">
        <v>36</v>
      </c>
      <c r="B2" s="7" t="s">
        <v>37</v>
      </c>
      <c r="C2" s="7" t="s">
        <v>239</v>
      </c>
      <c r="D2" s="7" t="s">
        <v>53</v>
      </c>
      <c r="E2" s="7" t="s">
        <v>43</v>
      </c>
      <c r="F2" s="7" t="s">
        <v>240</v>
      </c>
      <c r="G2" s="7" t="s">
        <v>44</v>
      </c>
      <c r="H2" s="7" t="s">
        <v>45</v>
      </c>
      <c r="I2" s="7" t="s">
        <v>46</v>
      </c>
      <c r="J2" s="7" t="s">
        <v>241</v>
      </c>
    </row>
    <row r="3" customFormat="false" ht="15" hidden="false" customHeight="false" outlineLevel="0" collapsed="false">
      <c r="A3" s="2" t="s">
        <v>242</v>
      </c>
      <c r="B3" s="2" t="s">
        <v>49</v>
      </c>
      <c r="C3" s="49" t="s">
        <v>243</v>
      </c>
      <c r="D3" s="6" t="n">
        <v>1330</v>
      </c>
      <c r="E3" s="6" t="n">
        <v>336</v>
      </c>
      <c r="F3" s="6" t="n">
        <v>192</v>
      </c>
      <c r="G3" s="50" t="n">
        <v>547.3</v>
      </c>
      <c r="H3" s="51" t="n">
        <v>13</v>
      </c>
      <c r="I3" s="48" t="n">
        <f aca="false">R_ASCON*G3/H3</f>
        <v>2694.4</v>
      </c>
      <c r="J3" s="48" t="n">
        <f aca="false">IF(ISNUMBER(I3),I3/D3*1000,"")</f>
        <v>2025.86466165414</v>
      </c>
    </row>
    <row r="4" customFormat="false" ht="15" hidden="false" customHeight="false" outlineLevel="0" collapsed="false">
      <c r="A4" s="2" t="s">
        <v>244</v>
      </c>
      <c r="B4" s="2" t="s">
        <v>49</v>
      </c>
      <c r="C4" s="49" t="s">
        <v>245</v>
      </c>
      <c r="D4" s="6" t="n">
        <v>1327</v>
      </c>
      <c r="E4" s="6" t="n">
        <v>839</v>
      </c>
      <c r="F4" s="6" t="n">
        <v>203</v>
      </c>
      <c r="G4" s="50" t="n">
        <v>535.3</v>
      </c>
      <c r="H4" s="51" t="n">
        <v>13</v>
      </c>
      <c r="I4" s="48" t="n">
        <f aca="false">R_ASCON*G4/H4</f>
        <v>2635.32307692308</v>
      </c>
      <c r="J4" s="48" t="n">
        <f aca="false">IF(ISNUMBER(I4),I4/D4*1000,"")</f>
        <v>1985.92545359689</v>
      </c>
    </row>
    <row r="5" customFormat="false" ht="15" hidden="false" customHeight="false" outlineLevel="0" collapsed="false">
      <c r="A5" s="2" t="s">
        <v>246</v>
      </c>
      <c r="B5" s="2" t="s">
        <v>78</v>
      </c>
      <c r="C5" s="49" t="s">
        <v>247</v>
      </c>
      <c r="D5" s="6" t="n">
        <v>4444</v>
      </c>
      <c r="E5" s="6" t="n">
        <v>2708</v>
      </c>
      <c r="F5" s="6" t="n">
        <v>655</v>
      </c>
      <c r="G5" s="50" t="n">
        <v>401.6</v>
      </c>
      <c r="H5" s="51" t="n">
        <v>24</v>
      </c>
      <c r="I5" s="48" t="n">
        <f aca="false">R_256*G5/H5</f>
        <v>18205.8666666667</v>
      </c>
      <c r="J5" s="48" t="n">
        <f aca="false">IF(ISNUMBER(I5),I5/D5*1000,"")</f>
        <v>4096.7296729673</v>
      </c>
    </row>
    <row r="6" customFormat="false" ht="15" hidden="false" customHeight="false" outlineLevel="0" collapsed="false">
      <c r="A6" s="2" t="s">
        <v>248</v>
      </c>
      <c r="B6" s="2" t="s">
        <v>49</v>
      </c>
      <c r="C6" s="20" t="s">
        <v>249</v>
      </c>
      <c r="D6" s="6" t="n">
        <v>1200</v>
      </c>
      <c r="E6" s="6" t="n">
        <v>744</v>
      </c>
      <c r="F6" s="6" t="n">
        <v>210</v>
      </c>
      <c r="G6" s="52" t="n">
        <f aca="false">1000/4.722</f>
        <v>211.774671749259</v>
      </c>
      <c r="H6" s="2" t="s">
        <v>250</v>
      </c>
      <c r="I6" s="2" t="s">
        <v>250</v>
      </c>
      <c r="J6" s="48" t="str">
        <f aca="false">IF(ISNUMBER(I6),I6/D6*1000,"")</f>
        <v/>
      </c>
    </row>
    <row r="7" customFormat="false" ht="15" hidden="false" customHeight="false" outlineLevel="0" collapsed="false">
      <c r="A7" s="2" t="s">
        <v>251</v>
      </c>
      <c r="B7" s="2" t="s">
        <v>78</v>
      </c>
      <c r="C7" s="20" t="s">
        <v>252</v>
      </c>
      <c r="D7" s="6" t="n">
        <v>2214</v>
      </c>
      <c r="E7" s="6" t="n">
        <v>1551</v>
      </c>
      <c r="F7" s="6" t="n">
        <v>474</v>
      </c>
      <c r="G7" s="52" t="n">
        <f aca="false">1000/6.023</f>
        <v>166.030217499585</v>
      </c>
      <c r="H7" s="2" t="s">
        <v>250</v>
      </c>
      <c r="I7" s="2" t="s">
        <v>250</v>
      </c>
      <c r="J7" s="48" t="str">
        <f aca="false">IF(ISNUMBER(I7),I7/D7*1000,"")</f>
        <v/>
      </c>
    </row>
    <row r="8" customFormat="false" ht="15" hidden="false" customHeight="false" outlineLevel="0" collapsed="false">
      <c r="A8" s="2" t="s">
        <v>253</v>
      </c>
      <c r="B8" s="2" t="s">
        <v>254</v>
      </c>
      <c r="C8" s="20" t="s">
        <v>255</v>
      </c>
      <c r="D8" s="6" t="n">
        <v>3281</v>
      </c>
      <c r="E8" s="6" t="n">
        <v>2215</v>
      </c>
      <c r="F8" s="6" t="n">
        <v>667</v>
      </c>
      <c r="G8" s="52" t="n">
        <f aca="false">1000/6.169</f>
        <v>162.100826714216</v>
      </c>
      <c r="H8" s="2" t="s">
        <v>250</v>
      </c>
      <c r="I8" s="2" t="s">
        <v>250</v>
      </c>
      <c r="J8" s="48" t="str">
        <f aca="false">IF(ISNUMBER(I8),I8/D8*1000,"")</f>
        <v/>
      </c>
    </row>
    <row r="10" customFormat="false" ht="15" hidden="false" customHeight="false" outlineLevel="0" collapsed="false">
      <c r="A10" s="2" t="s">
        <v>256</v>
      </c>
    </row>
    <row r="11" customFormat="false" ht="15" hidden="false" customHeight="false" outlineLevel="0" collapsed="false">
      <c r="A11" s="2" t="s">
        <v>257</v>
      </c>
    </row>
  </sheetData>
  <hyperlinks>
    <hyperlink ref="C3" location="'Fonti'!A33" display="ascon-verilog v4, solo hash"/>
    <hyperlink ref="C4" location="'Fonti'!A34" display="GMU2 Ascon-128 x1 (BlueLight)"/>
    <hyperlink ref="C5" location="'Fonti'!A35" display="Keccak team high-speed v3.1, SHA3-25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5" t="s">
        <v>258</v>
      </c>
    </row>
    <row r="2" customFormat="false" ht="39.75" hidden="false" customHeight="true" outlineLevel="0" collapsed="false">
      <c r="A2" s="7" t="s">
        <v>36</v>
      </c>
      <c r="B2" s="7" t="s">
        <v>37</v>
      </c>
      <c r="C2" s="7" t="s">
        <v>223</v>
      </c>
      <c r="D2" s="7" t="s">
        <v>39</v>
      </c>
      <c r="E2" s="7" t="s">
        <v>224</v>
      </c>
      <c r="F2" s="7" t="s">
        <v>225</v>
      </c>
      <c r="G2" s="7" t="s">
        <v>42</v>
      </c>
      <c r="H2" s="7" t="s">
        <v>44</v>
      </c>
      <c r="I2" s="7" t="s">
        <v>259</v>
      </c>
      <c r="J2" s="7" t="s">
        <v>260</v>
      </c>
      <c r="K2" s="7" t="s">
        <v>47</v>
      </c>
    </row>
    <row r="3" customFormat="false" ht="15" hidden="false" customHeight="false" outlineLevel="0" collapsed="false">
      <c r="A3" s="2" t="s">
        <v>261</v>
      </c>
      <c r="B3" s="2" t="s">
        <v>227</v>
      </c>
      <c r="C3" s="49" t="s">
        <v>262</v>
      </c>
      <c r="D3" s="2" t="s">
        <v>263</v>
      </c>
      <c r="E3" s="20" t="s">
        <v>264</v>
      </c>
      <c r="F3" s="6" t="n">
        <v>4767</v>
      </c>
      <c r="G3" s="2" t="s">
        <v>53</v>
      </c>
      <c r="H3" s="51" t="n">
        <v>125</v>
      </c>
      <c r="J3" s="2" t="s">
        <v>54</v>
      </c>
      <c r="K3" s="2" t="s">
        <v>54</v>
      </c>
    </row>
    <row r="4" customFormat="false" ht="15" hidden="false" customHeight="false" outlineLevel="0" collapsed="false">
      <c r="A4" s="2" t="s">
        <v>265</v>
      </c>
      <c r="B4" s="2" t="s">
        <v>227</v>
      </c>
      <c r="C4" s="49" t="s">
        <v>262</v>
      </c>
      <c r="D4" s="2" t="s">
        <v>57</v>
      </c>
      <c r="E4" s="20" t="s">
        <v>264</v>
      </c>
      <c r="F4" s="6" t="n">
        <v>4772</v>
      </c>
      <c r="G4" s="2" t="s">
        <v>53</v>
      </c>
      <c r="H4" s="51" t="n">
        <v>150</v>
      </c>
      <c r="J4" s="2" t="s">
        <v>54</v>
      </c>
      <c r="K4" s="2" t="s">
        <v>54</v>
      </c>
    </row>
    <row r="5" customFormat="false" ht="15" hidden="false" customHeight="false" outlineLevel="0" collapsed="false">
      <c r="A5" s="2" t="s">
        <v>266</v>
      </c>
      <c r="B5" s="2" t="s">
        <v>227</v>
      </c>
      <c r="C5" s="49" t="s">
        <v>262</v>
      </c>
      <c r="D5" s="2" t="s">
        <v>267</v>
      </c>
      <c r="E5" s="20" t="s">
        <v>264</v>
      </c>
      <c r="F5" s="6" t="n">
        <v>4808</v>
      </c>
      <c r="G5" s="2" t="s">
        <v>53</v>
      </c>
      <c r="H5" s="51" t="n">
        <v>375</v>
      </c>
      <c r="J5" s="2" t="s">
        <v>54</v>
      </c>
      <c r="K5" s="2" t="s">
        <v>54</v>
      </c>
    </row>
    <row r="6" customFormat="false" ht="15" hidden="false" customHeight="false" outlineLevel="0" collapsed="false">
      <c r="A6" s="2" t="s">
        <v>268</v>
      </c>
      <c r="B6" s="2" t="s">
        <v>227</v>
      </c>
      <c r="C6" s="49" t="s">
        <v>262</v>
      </c>
      <c r="D6" s="2" t="s">
        <v>267</v>
      </c>
      <c r="E6" s="20" t="s">
        <v>269</v>
      </c>
      <c r="F6" s="6" t="n">
        <v>10340</v>
      </c>
      <c r="G6" s="2" t="s">
        <v>53</v>
      </c>
      <c r="H6" s="51" t="n">
        <v>200</v>
      </c>
      <c r="J6" s="2" t="s">
        <v>54</v>
      </c>
      <c r="K6" s="2" t="s">
        <v>54</v>
      </c>
    </row>
    <row r="7" customFormat="false" ht="15" hidden="false" customHeight="false" outlineLevel="0" collapsed="false">
      <c r="A7" s="2" t="s">
        <v>270</v>
      </c>
      <c r="B7" s="2" t="s">
        <v>227</v>
      </c>
      <c r="C7" s="49" t="s">
        <v>262</v>
      </c>
      <c r="D7" s="2" t="s">
        <v>267</v>
      </c>
      <c r="E7" s="20" t="s">
        <v>271</v>
      </c>
      <c r="F7" s="6" t="n">
        <v>20672</v>
      </c>
      <c r="G7" s="2" t="s">
        <v>53</v>
      </c>
      <c r="H7" s="51" t="n">
        <v>100</v>
      </c>
      <c r="J7" s="2" t="s">
        <v>54</v>
      </c>
      <c r="K7" s="2" t="s">
        <v>54</v>
      </c>
    </row>
    <row r="8" customFormat="false" ht="15" hidden="false" customHeight="false" outlineLevel="0" collapsed="false">
      <c r="A8" s="2" t="s">
        <v>272</v>
      </c>
      <c r="B8" s="2" t="s">
        <v>227</v>
      </c>
      <c r="C8" s="49" t="s">
        <v>262</v>
      </c>
      <c r="D8" s="2" t="s">
        <v>141</v>
      </c>
      <c r="E8" s="20" t="s">
        <v>273</v>
      </c>
      <c r="F8" s="6" t="n">
        <v>3291</v>
      </c>
      <c r="G8" s="2" t="s">
        <v>142</v>
      </c>
      <c r="H8" s="51" t="n">
        <v>100</v>
      </c>
      <c r="J8" s="2" t="s">
        <v>54</v>
      </c>
      <c r="K8" s="2" t="s">
        <v>54</v>
      </c>
    </row>
    <row r="9" customFormat="false" ht="15" hidden="false" customHeight="false" outlineLevel="0" collapsed="false">
      <c r="A9" s="2" t="s">
        <v>274</v>
      </c>
      <c r="B9" s="2" t="s">
        <v>227</v>
      </c>
      <c r="C9" s="49" t="s">
        <v>262</v>
      </c>
      <c r="D9" s="2" t="s">
        <v>163</v>
      </c>
      <c r="E9" s="20" t="s">
        <v>264</v>
      </c>
      <c r="F9" s="6" t="n">
        <v>3852</v>
      </c>
      <c r="G9" s="2" t="s">
        <v>142</v>
      </c>
      <c r="H9" s="51" t="n">
        <v>300</v>
      </c>
      <c r="J9" s="2" t="s">
        <v>54</v>
      </c>
      <c r="K9" s="2" t="s">
        <v>54</v>
      </c>
    </row>
    <row r="10" customFormat="false" ht="15" hidden="false" customHeight="false" outlineLevel="0" collapsed="false">
      <c r="A10" s="2" t="s">
        <v>275</v>
      </c>
      <c r="B10" s="2" t="s">
        <v>227</v>
      </c>
      <c r="C10" s="49" t="s">
        <v>262</v>
      </c>
      <c r="D10" s="2" t="s">
        <v>276</v>
      </c>
      <c r="E10" s="20" t="s">
        <v>264</v>
      </c>
      <c r="F10" s="6" t="n">
        <v>4087</v>
      </c>
      <c r="G10" s="2" t="s">
        <v>142</v>
      </c>
      <c r="H10" s="51" t="n">
        <v>500</v>
      </c>
      <c r="J10" s="2" t="s">
        <v>54</v>
      </c>
      <c r="K10" s="2" t="s">
        <v>54</v>
      </c>
    </row>
    <row r="11" customFormat="false" ht="15" hidden="false" customHeight="false" outlineLevel="0" collapsed="false">
      <c r="A11" s="2" t="s">
        <v>277</v>
      </c>
      <c r="B11" s="2" t="s">
        <v>227</v>
      </c>
      <c r="C11" s="49" t="s">
        <v>262</v>
      </c>
      <c r="D11" s="2" t="s">
        <v>276</v>
      </c>
      <c r="E11" s="20" t="s">
        <v>269</v>
      </c>
      <c r="F11" s="6" t="n">
        <v>6537</v>
      </c>
      <c r="G11" s="2" t="s">
        <v>142</v>
      </c>
      <c r="H11" s="51" t="n">
        <v>250</v>
      </c>
      <c r="J11" s="2" t="s">
        <v>54</v>
      </c>
      <c r="K11" s="2" t="s">
        <v>54</v>
      </c>
    </row>
    <row r="12" customFormat="false" ht="15" hidden="false" customHeight="false" outlineLevel="0" collapsed="false">
      <c r="A12" s="2" t="s">
        <v>278</v>
      </c>
      <c r="B12" s="2" t="s">
        <v>227</v>
      </c>
      <c r="C12" s="49" t="s">
        <v>262</v>
      </c>
      <c r="D12" s="2" t="s">
        <v>276</v>
      </c>
      <c r="E12" s="20" t="s">
        <v>271</v>
      </c>
      <c r="F12" s="6" t="n">
        <v>14228</v>
      </c>
      <c r="G12" s="2" t="s">
        <v>142</v>
      </c>
      <c r="H12" s="51" t="n">
        <v>125</v>
      </c>
      <c r="J12" s="2" t="s">
        <v>54</v>
      </c>
      <c r="K12" s="2" t="s">
        <v>54</v>
      </c>
    </row>
    <row r="13" customFormat="false" ht="15" hidden="false" customHeight="false" outlineLevel="0" collapsed="false">
      <c r="A13" s="2" t="s">
        <v>279</v>
      </c>
      <c r="B13" s="2" t="s">
        <v>49</v>
      </c>
      <c r="C13" s="49" t="s">
        <v>280</v>
      </c>
      <c r="D13" s="2" t="s">
        <v>88</v>
      </c>
      <c r="E13" s="20" t="s">
        <v>281</v>
      </c>
      <c r="F13" s="6" t="n">
        <v>1202</v>
      </c>
      <c r="G13" s="2" t="s">
        <v>53</v>
      </c>
      <c r="H13" s="51" t="n">
        <v>475</v>
      </c>
      <c r="I13" s="51" t="n">
        <v>5.3</v>
      </c>
      <c r="J13" s="48" t="n">
        <f aca="false">I13*H13</f>
        <v>2517.5</v>
      </c>
      <c r="K13" s="48" t="n">
        <f aca="false">J13/F13*1000</f>
        <v>2094.42595673877</v>
      </c>
    </row>
    <row r="14" customFormat="false" ht="15" hidden="false" customHeight="false" outlineLevel="0" collapsed="false">
      <c r="A14" s="2" t="s">
        <v>282</v>
      </c>
      <c r="B14" s="2" t="s">
        <v>49</v>
      </c>
      <c r="C14" s="49" t="s">
        <v>280</v>
      </c>
      <c r="D14" s="2" t="s">
        <v>283</v>
      </c>
      <c r="E14" s="20" t="s">
        <v>281</v>
      </c>
      <c r="F14" s="6" t="n">
        <v>1223</v>
      </c>
      <c r="G14" s="2" t="s">
        <v>53</v>
      </c>
      <c r="H14" s="51" t="n">
        <v>700</v>
      </c>
      <c r="I14" s="51" t="n">
        <v>5.3</v>
      </c>
      <c r="J14" s="48" t="n">
        <f aca="false">I14*H14</f>
        <v>3710</v>
      </c>
      <c r="K14" s="48" t="n">
        <f aca="false">J14/F14*1000</f>
        <v>3033.5241210139</v>
      </c>
    </row>
    <row r="15" customFormat="false" ht="15" hidden="false" customHeight="false" outlineLevel="0" collapsed="false">
      <c r="A15" s="2" t="s">
        <v>284</v>
      </c>
      <c r="B15" s="2" t="s">
        <v>49</v>
      </c>
      <c r="C15" s="49" t="s">
        <v>280</v>
      </c>
      <c r="D15" s="2" t="s">
        <v>267</v>
      </c>
      <c r="E15" s="20" t="s">
        <v>281</v>
      </c>
      <c r="F15" s="6" t="n">
        <v>1211</v>
      </c>
      <c r="G15" s="2" t="s">
        <v>53</v>
      </c>
      <c r="H15" s="51" t="n">
        <v>900</v>
      </c>
      <c r="I15" s="51" t="n">
        <v>5.3</v>
      </c>
      <c r="J15" s="48" t="n">
        <f aca="false">I15*H15</f>
        <v>4770</v>
      </c>
      <c r="K15" s="48" t="n">
        <f aca="false">J15/F15*1000</f>
        <v>3938.89347646573</v>
      </c>
    </row>
    <row r="16" customFormat="false" ht="15" hidden="false" customHeight="false" outlineLevel="0" collapsed="false">
      <c r="A16" s="2" t="s">
        <v>285</v>
      </c>
      <c r="B16" s="2" t="s">
        <v>49</v>
      </c>
      <c r="C16" s="49" t="s">
        <v>280</v>
      </c>
      <c r="D16" s="2" t="s">
        <v>286</v>
      </c>
      <c r="E16" s="20" t="s">
        <v>281</v>
      </c>
      <c r="F16" s="6" t="n">
        <v>1481</v>
      </c>
      <c r="G16" s="2" t="s">
        <v>53</v>
      </c>
      <c r="H16" s="51" t="n">
        <v>625</v>
      </c>
      <c r="I16" s="51" t="n">
        <v>5.3</v>
      </c>
      <c r="J16" s="48" t="n">
        <f aca="false">I16*H16</f>
        <v>3312.5</v>
      </c>
      <c r="K16" s="48" t="n">
        <f aca="false">J16/F16*1000</f>
        <v>2236.66441593518</v>
      </c>
    </row>
    <row r="17" customFormat="false" ht="15" hidden="false" customHeight="false" outlineLevel="0" collapsed="false">
      <c r="A17" s="2" t="s">
        <v>287</v>
      </c>
      <c r="B17" s="2" t="s">
        <v>49</v>
      </c>
      <c r="C17" s="49" t="s">
        <v>280</v>
      </c>
      <c r="D17" s="2" t="s">
        <v>276</v>
      </c>
      <c r="E17" s="20" t="s">
        <v>281</v>
      </c>
      <c r="F17" s="6" t="n">
        <v>1295</v>
      </c>
      <c r="G17" s="2" t="s">
        <v>142</v>
      </c>
      <c r="H17" s="51" t="n">
        <v>700</v>
      </c>
      <c r="I17" s="51" t="n">
        <v>5.3</v>
      </c>
      <c r="J17" s="48" t="n">
        <f aca="false">I17*H17</f>
        <v>3710</v>
      </c>
      <c r="K17" s="48" t="n">
        <f aca="false">J17/F17*1000</f>
        <v>2864.86486486487</v>
      </c>
    </row>
    <row r="18" customFormat="false" ht="15" hidden="false" customHeight="false" outlineLevel="0" collapsed="false">
      <c r="A18" s="2" t="s">
        <v>288</v>
      </c>
      <c r="B18" s="2" t="s">
        <v>49</v>
      </c>
      <c r="C18" s="49" t="s">
        <v>280</v>
      </c>
      <c r="D18" s="2" t="s">
        <v>163</v>
      </c>
      <c r="E18" s="20" t="s">
        <v>281</v>
      </c>
      <c r="F18" s="6" t="n">
        <v>1225</v>
      </c>
      <c r="G18" s="2" t="s">
        <v>142</v>
      </c>
      <c r="H18" s="51" t="n">
        <v>525</v>
      </c>
      <c r="I18" s="51" t="n">
        <v>5.3</v>
      </c>
      <c r="J18" s="48" t="n">
        <f aca="false">I18*H18</f>
        <v>2782.5</v>
      </c>
      <c r="K18" s="48" t="n">
        <f aca="false">J18/F18*1000</f>
        <v>2271.42857142857</v>
      </c>
    </row>
    <row r="19" customFormat="false" ht="15" hidden="false" customHeight="false" outlineLevel="0" collapsed="false">
      <c r="A19" s="2" t="s">
        <v>289</v>
      </c>
      <c r="B19" s="2" t="s">
        <v>49</v>
      </c>
      <c r="C19" s="49" t="s">
        <v>280</v>
      </c>
      <c r="D19" s="2" t="s">
        <v>141</v>
      </c>
      <c r="E19" s="20" t="s">
        <v>281</v>
      </c>
      <c r="F19" s="6" t="n">
        <v>1207</v>
      </c>
      <c r="G19" s="2" t="s">
        <v>142</v>
      </c>
      <c r="H19" s="51" t="n">
        <v>250</v>
      </c>
      <c r="I19" s="51" t="n">
        <v>5.3</v>
      </c>
      <c r="J19" s="48" t="n">
        <f aca="false">I19*H19</f>
        <v>1325</v>
      </c>
      <c r="K19" s="48" t="n">
        <f aca="false">J19/F19*1000</f>
        <v>1097.76304888152</v>
      </c>
    </row>
    <row r="20" customFormat="false" ht="15" hidden="false" customHeight="false" outlineLevel="0" collapsed="false">
      <c r="A20" s="2" t="s">
        <v>290</v>
      </c>
      <c r="B20" s="2" t="s">
        <v>49</v>
      </c>
      <c r="C20" s="49" t="s">
        <v>280</v>
      </c>
      <c r="D20" s="2" t="s">
        <v>291</v>
      </c>
      <c r="E20" s="20" t="s">
        <v>281</v>
      </c>
      <c r="F20" s="6" t="n">
        <v>2058</v>
      </c>
      <c r="G20" s="2" t="s">
        <v>137</v>
      </c>
      <c r="H20" s="51" t="n">
        <v>175</v>
      </c>
      <c r="I20" s="51" t="n">
        <v>5.3</v>
      </c>
      <c r="J20" s="48" t="n">
        <f aca="false">I20*H20</f>
        <v>927.5</v>
      </c>
      <c r="K20" s="48" t="n">
        <f aca="false">J20/F20*1000</f>
        <v>450.680272108844</v>
      </c>
    </row>
    <row r="21" customFormat="false" ht="15" hidden="false" customHeight="false" outlineLevel="0" collapsed="false">
      <c r="A21" s="2" t="s">
        <v>292</v>
      </c>
      <c r="B21" s="2" t="s">
        <v>49</v>
      </c>
      <c r="C21" s="49" t="s">
        <v>280</v>
      </c>
      <c r="D21" s="2" t="s">
        <v>181</v>
      </c>
      <c r="E21" s="20" t="s">
        <v>281</v>
      </c>
      <c r="F21" s="6" t="n">
        <v>1173</v>
      </c>
      <c r="G21" s="2" t="s">
        <v>142</v>
      </c>
      <c r="H21" s="51" t="n">
        <v>500</v>
      </c>
      <c r="I21" s="51" t="n">
        <v>5.3</v>
      </c>
      <c r="J21" s="48" t="n">
        <f aca="false">I21*H21</f>
        <v>2650</v>
      </c>
      <c r="K21" s="48" t="n">
        <f aca="false">J21/F21*1000</f>
        <v>2259.16453537937</v>
      </c>
    </row>
  </sheetData>
  <hyperlinks>
    <hyperlink ref="C3" location="'Fonti'!A37" display="CAST SHA-3"/>
    <hyperlink ref="C4" location="'Fonti'!A37" display="CAST SHA-3"/>
    <hyperlink ref="C5" location="'Fonti'!A37" display="CAST SHA-3"/>
    <hyperlink ref="C6" location="'Fonti'!A37" display="CAST SHA-3"/>
    <hyperlink ref="C7" location="'Fonti'!A37" display="CAST SHA-3"/>
    <hyperlink ref="C8" location="'Fonti'!A37" display="CAST SHA-3"/>
    <hyperlink ref="C9" location="'Fonti'!A37" display="CAST SHA-3"/>
    <hyperlink ref="C10" location="'Fonti'!A37" display="CAST SHA-3"/>
    <hyperlink ref="C11" location="'Fonti'!A37" display="CAST SHA-3"/>
    <hyperlink ref="C12" location="'Fonti'!A37" display="CAST SHA-3"/>
    <hyperlink ref="C13" location="'Fonti'!A38" display="CAST ASCON-F"/>
    <hyperlink ref="C14" location="'Fonti'!A38" display="CAST ASCON-F"/>
    <hyperlink ref="C15" location="'Fonti'!A38" display="CAST ASCON-F"/>
    <hyperlink ref="C16" location="'Fonti'!A38" display="CAST ASCON-F"/>
    <hyperlink ref="C17" location="'Fonti'!A38" display="CAST ASCON-F"/>
    <hyperlink ref="C18" location="'Fonti'!A38" display="CAST ASCON-F"/>
    <hyperlink ref="C19" location="'Fonti'!A38" display="CAST ASCON-F"/>
    <hyperlink ref="C20" location="'Fonti'!A38" display="CAST ASCON-F"/>
    <hyperlink ref="C21" location="'Fonti'!A38" display="CAST ASCON-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2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5" t="s">
        <v>293</v>
      </c>
    </row>
    <row r="2" customFormat="false" ht="54" hidden="false" customHeight="tru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294</v>
      </c>
    </row>
    <row r="3" customFormat="false" ht="15" hidden="false" customHeight="false" outlineLevel="0" collapsed="false">
      <c r="A3" s="18" t="s">
        <v>295</v>
      </c>
      <c r="B3" s="18" t="s">
        <v>49</v>
      </c>
      <c r="C3" s="19" t="s">
        <v>296</v>
      </c>
      <c r="D3" s="18" t="s">
        <v>57</v>
      </c>
      <c r="E3" s="20" t="s">
        <v>297</v>
      </c>
      <c r="F3" s="21" t="n">
        <v>1548</v>
      </c>
      <c r="G3" s="18" t="s">
        <v>53</v>
      </c>
      <c r="H3" s="21" t="n">
        <v>1045</v>
      </c>
      <c r="I3" s="22" t="n">
        <v>244</v>
      </c>
      <c r="J3" s="25" t="n">
        <v>13</v>
      </c>
      <c r="K3" s="24" t="n">
        <f aca="false">R_ASCON*I3/J3</f>
        <v>1201.23076923077</v>
      </c>
      <c r="L3" s="24" t="n">
        <f aca="false">K3/F3*1000</f>
        <v>775.988869012125</v>
      </c>
      <c r="M3" s="20" t="s">
        <v>298</v>
      </c>
    </row>
    <row r="4" customFormat="false" ht="15" hidden="false" customHeight="false" outlineLevel="0" collapsed="false">
      <c r="A4" s="18" t="s">
        <v>299</v>
      </c>
      <c r="B4" s="18" t="s">
        <v>49</v>
      </c>
      <c r="C4" s="19" t="s">
        <v>60</v>
      </c>
      <c r="D4" s="18" t="s">
        <v>57</v>
      </c>
      <c r="E4" s="20" t="s">
        <v>300</v>
      </c>
      <c r="F4" s="21" t="n">
        <v>2113</v>
      </c>
      <c r="G4" s="18" t="s">
        <v>53</v>
      </c>
      <c r="H4" s="21" t="n">
        <v>582</v>
      </c>
      <c r="I4" s="22" t="n">
        <v>205</v>
      </c>
      <c r="K4" s="23" t="n">
        <v>937</v>
      </c>
      <c r="L4" s="24" t="n">
        <f aca="false">K4/F4*1000</f>
        <v>443.445338381448</v>
      </c>
      <c r="M4" s="20" t="s">
        <v>301</v>
      </c>
    </row>
    <row r="5" customFormat="false" ht="15" hidden="false" customHeight="false" outlineLevel="0" collapsed="false">
      <c r="A5" s="18" t="s">
        <v>302</v>
      </c>
      <c r="B5" s="18" t="s">
        <v>49</v>
      </c>
      <c r="C5" s="19" t="s">
        <v>50</v>
      </c>
      <c r="D5" s="18" t="s">
        <v>57</v>
      </c>
      <c r="E5" s="20" t="s">
        <v>303</v>
      </c>
      <c r="F5" s="21" t="n">
        <v>2181</v>
      </c>
      <c r="G5" s="18" t="s">
        <v>53</v>
      </c>
      <c r="H5" s="38" t="s">
        <v>54</v>
      </c>
      <c r="I5" s="22" t="n">
        <v>242</v>
      </c>
      <c r="J5" s="25" t="n">
        <v>15</v>
      </c>
      <c r="K5" s="24" t="n">
        <f aca="false">R_ASCON*I5/J5</f>
        <v>1032.53333333333</v>
      </c>
      <c r="L5" s="24" t="n">
        <f aca="false">K5/F5*1000</f>
        <v>473.421977686077</v>
      </c>
      <c r="M5" s="20" t="s">
        <v>304</v>
      </c>
    </row>
    <row r="6" customFormat="false" ht="15" hidden="false" customHeight="false" outlineLevel="0" collapsed="false">
      <c r="A6" s="18" t="s">
        <v>305</v>
      </c>
      <c r="B6" s="18" t="s">
        <v>49</v>
      </c>
      <c r="C6" s="19" t="s">
        <v>60</v>
      </c>
      <c r="D6" s="18" t="s">
        <v>57</v>
      </c>
      <c r="E6" s="20" t="s">
        <v>306</v>
      </c>
      <c r="F6" s="21" t="n">
        <v>2967</v>
      </c>
      <c r="G6" s="18" t="s">
        <v>53</v>
      </c>
      <c r="H6" s="21" t="n">
        <v>588</v>
      </c>
      <c r="I6" s="22" t="n">
        <v>130</v>
      </c>
      <c r="K6" s="23" t="n">
        <v>1387</v>
      </c>
      <c r="L6" s="24" t="n">
        <f aca="false">K6/F6*1000</f>
        <v>467.47556454331</v>
      </c>
      <c r="M6" s="20" t="s">
        <v>307</v>
      </c>
    </row>
    <row r="7" customFormat="false" ht="23.85" hidden="false" customHeight="false" outlineLevel="0" collapsed="false">
      <c r="A7" s="18" t="s">
        <v>308</v>
      </c>
      <c r="B7" s="18" t="s">
        <v>49</v>
      </c>
      <c r="C7" s="19" t="s">
        <v>63</v>
      </c>
      <c r="D7" s="18" t="s">
        <v>135</v>
      </c>
      <c r="E7" s="20" t="s">
        <v>197</v>
      </c>
      <c r="F7" s="21" t="n">
        <v>2517</v>
      </c>
      <c r="G7" s="18" t="s">
        <v>137</v>
      </c>
      <c r="H7" s="21" t="n">
        <v>775</v>
      </c>
      <c r="I7" s="22" t="n">
        <v>141.4</v>
      </c>
      <c r="J7" s="25" t="n">
        <v>14</v>
      </c>
      <c r="K7" s="24" t="n">
        <f aca="false">R_ASCON*I7/J7</f>
        <v>646.4</v>
      </c>
      <c r="L7" s="24" t="n">
        <f aca="false">K7/F7*1000</f>
        <v>256.813667063965</v>
      </c>
      <c r="M7" s="20" t="s">
        <v>134</v>
      </c>
    </row>
    <row r="8" customFormat="false" ht="23.85" hidden="false" customHeight="false" outlineLevel="0" collapsed="false">
      <c r="A8" s="18" t="s">
        <v>309</v>
      </c>
      <c r="B8" s="18" t="s">
        <v>49</v>
      </c>
      <c r="C8" s="19" t="s">
        <v>63</v>
      </c>
      <c r="D8" s="18" t="s">
        <v>135</v>
      </c>
      <c r="E8" s="20" t="s">
        <v>200</v>
      </c>
      <c r="F8" s="21" t="n">
        <v>2634</v>
      </c>
      <c r="G8" s="18" t="s">
        <v>137</v>
      </c>
      <c r="H8" s="21" t="n">
        <v>775</v>
      </c>
      <c r="I8" s="22" t="n">
        <v>143.3</v>
      </c>
      <c r="J8" s="25" t="n">
        <v>14</v>
      </c>
      <c r="K8" s="24" t="n">
        <f aca="false">R_ASCON*I8/J8</f>
        <v>655.085714285714</v>
      </c>
      <c r="L8" s="24" t="n">
        <f aca="false">K8/F8*1000</f>
        <v>248.703763965723</v>
      </c>
      <c r="M8" s="20" t="s">
        <v>134</v>
      </c>
    </row>
    <row r="9" customFormat="false" ht="15" hidden="false" customHeight="false" outlineLevel="0" collapsed="false">
      <c r="A9" s="18" t="s">
        <v>310</v>
      </c>
      <c r="B9" s="18" t="s">
        <v>49</v>
      </c>
      <c r="C9" s="19" t="s">
        <v>63</v>
      </c>
      <c r="D9" s="18" t="s">
        <v>135</v>
      </c>
      <c r="E9" s="20" t="s">
        <v>311</v>
      </c>
      <c r="F9" s="21" t="n">
        <v>2695</v>
      </c>
      <c r="G9" s="18" t="s">
        <v>137</v>
      </c>
      <c r="H9" s="21" t="n">
        <v>640</v>
      </c>
      <c r="I9" s="22" t="n">
        <v>172</v>
      </c>
      <c r="J9" s="25" t="n">
        <v>15</v>
      </c>
      <c r="K9" s="24" t="n">
        <f aca="false">R_ASCON*I9/J9</f>
        <v>733.866666666667</v>
      </c>
      <c r="L9" s="24" t="n">
        <f aca="false">K9/F9*1000</f>
        <v>272.30674087817</v>
      </c>
      <c r="M9" s="20" t="s">
        <v>134</v>
      </c>
    </row>
    <row r="10" customFormat="false" ht="15" hidden="false" customHeight="false" outlineLevel="0" collapsed="false">
      <c r="A10" s="18" t="s">
        <v>312</v>
      </c>
      <c r="B10" s="18" t="s">
        <v>49</v>
      </c>
      <c r="C10" s="19" t="s">
        <v>63</v>
      </c>
      <c r="D10" s="18" t="s">
        <v>135</v>
      </c>
      <c r="E10" s="20" t="s">
        <v>313</v>
      </c>
      <c r="F10" s="21" t="n">
        <v>3716</v>
      </c>
      <c r="G10" s="18" t="s">
        <v>137</v>
      </c>
      <c r="H10" s="21" t="n">
        <v>774</v>
      </c>
      <c r="I10" s="22" t="n">
        <v>109.7</v>
      </c>
      <c r="J10" s="25" t="n">
        <v>8</v>
      </c>
      <c r="K10" s="24" t="n">
        <f aca="false">R_ASCON*I10/J10</f>
        <v>877.6</v>
      </c>
      <c r="L10" s="24" t="n">
        <f aca="false">K10/F10*1000</f>
        <v>236.167922497309</v>
      </c>
      <c r="M10" s="20" t="s">
        <v>138</v>
      </c>
    </row>
    <row r="11" customFormat="false" ht="15" hidden="false" customHeight="false" outlineLevel="0" collapsed="false">
      <c r="A11" s="18" t="s">
        <v>314</v>
      </c>
      <c r="B11" s="18" t="s">
        <v>49</v>
      </c>
      <c r="C11" s="19" t="s">
        <v>63</v>
      </c>
      <c r="D11" s="18" t="s">
        <v>135</v>
      </c>
      <c r="E11" s="20" t="s">
        <v>315</v>
      </c>
      <c r="F11" s="21" t="n">
        <v>3730</v>
      </c>
      <c r="G11" s="18" t="s">
        <v>137</v>
      </c>
      <c r="H11" s="21" t="n">
        <v>774</v>
      </c>
      <c r="I11" s="22" t="n">
        <v>108.7</v>
      </c>
      <c r="J11" s="25" t="n">
        <v>8</v>
      </c>
      <c r="K11" s="24" t="n">
        <f aca="false">R_ASCON*I11/J11</f>
        <v>869.6</v>
      </c>
      <c r="L11" s="24" t="n">
        <f aca="false">K11/F11*1000</f>
        <v>233.13672922252</v>
      </c>
      <c r="M11" s="20" t="s">
        <v>138</v>
      </c>
    </row>
    <row r="12" customFormat="false" ht="15" hidden="false" customHeight="false" outlineLevel="0" collapsed="false">
      <c r="A12" s="18" t="s">
        <v>316</v>
      </c>
      <c r="B12" s="18" t="s">
        <v>49</v>
      </c>
      <c r="C12" s="19" t="s">
        <v>63</v>
      </c>
      <c r="D12" s="18" t="s">
        <v>135</v>
      </c>
      <c r="E12" s="20" t="s">
        <v>317</v>
      </c>
      <c r="F12" s="21" t="n">
        <v>4161</v>
      </c>
      <c r="G12" s="18" t="s">
        <v>137</v>
      </c>
      <c r="H12" s="21" t="n">
        <v>867</v>
      </c>
      <c r="I12" s="22" t="n">
        <v>91.7</v>
      </c>
      <c r="J12" s="25" t="n">
        <v>5</v>
      </c>
      <c r="K12" s="24" t="n">
        <f aca="false">R_ASCON*I12/J12</f>
        <v>1173.76</v>
      </c>
      <c r="L12" s="24" t="n">
        <f aca="false">K12/F12*1000</f>
        <v>282.086037010334</v>
      </c>
      <c r="M12" s="20" t="s">
        <v>138</v>
      </c>
    </row>
    <row r="13" customFormat="false" ht="15" hidden="false" customHeight="false" outlineLevel="0" collapsed="false">
      <c r="A13" s="18" t="s">
        <v>318</v>
      </c>
      <c r="B13" s="18" t="s">
        <v>49</v>
      </c>
      <c r="C13" s="19" t="s">
        <v>63</v>
      </c>
      <c r="D13" s="18" t="s">
        <v>135</v>
      </c>
      <c r="E13" s="20" t="s">
        <v>319</v>
      </c>
      <c r="F13" s="21" t="n">
        <v>4905</v>
      </c>
      <c r="G13" s="18" t="s">
        <v>137</v>
      </c>
      <c r="H13" s="21" t="n">
        <v>775</v>
      </c>
      <c r="I13" s="22" t="n">
        <v>80.1</v>
      </c>
      <c r="J13" s="25" t="n">
        <v>6</v>
      </c>
      <c r="K13" s="24" t="n">
        <f aca="false">R_ASCON*I13/J13</f>
        <v>854.4</v>
      </c>
      <c r="L13" s="24" t="n">
        <f aca="false">K13/F13*1000</f>
        <v>174.189602446483</v>
      </c>
      <c r="M13" s="20" t="s">
        <v>320</v>
      </c>
    </row>
    <row r="14" customFormat="false" ht="15" hidden="false" customHeight="false" outlineLevel="0" collapsed="false">
      <c r="A14" s="18" t="s">
        <v>321</v>
      </c>
      <c r="B14" s="18" t="s">
        <v>49</v>
      </c>
      <c r="C14" s="19" t="s">
        <v>63</v>
      </c>
      <c r="D14" s="18" t="s">
        <v>196</v>
      </c>
      <c r="E14" s="20" t="s">
        <v>311</v>
      </c>
      <c r="F14" s="21" t="n">
        <v>3041</v>
      </c>
      <c r="G14" s="18" t="s">
        <v>198</v>
      </c>
      <c r="H14" s="21" t="n">
        <v>557</v>
      </c>
      <c r="I14" s="22" t="n">
        <v>75.4</v>
      </c>
      <c r="J14" s="25" t="n">
        <v>15</v>
      </c>
      <c r="K14" s="24" t="n">
        <f aca="false">R_ASCON*I14/J14</f>
        <v>321.706666666667</v>
      </c>
      <c r="L14" s="24" t="n">
        <f aca="false">K14/F14*1000</f>
        <v>105.789762139647</v>
      </c>
      <c r="M14" s="20" t="s">
        <v>201</v>
      </c>
    </row>
    <row r="15" customFormat="false" ht="15" hidden="false" customHeight="false" outlineLevel="0" collapsed="false">
      <c r="A15" s="18" t="s">
        <v>322</v>
      </c>
      <c r="B15" s="18" t="s">
        <v>49</v>
      </c>
      <c r="C15" s="19" t="s">
        <v>63</v>
      </c>
      <c r="D15" s="18" t="s">
        <v>196</v>
      </c>
      <c r="E15" s="20" t="s">
        <v>313</v>
      </c>
      <c r="F15" s="21" t="n">
        <v>3305</v>
      </c>
      <c r="G15" s="18" t="s">
        <v>198</v>
      </c>
      <c r="H15" s="21" t="n">
        <v>674</v>
      </c>
      <c r="I15" s="22" t="n">
        <v>63.7</v>
      </c>
      <c r="J15" s="25" t="n">
        <v>8</v>
      </c>
      <c r="K15" s="24" t="n">
        <f aca="false">R_ASCON*I15/J15</f>
        <v>509.6</v>
      </c>
      <c r="L15" s="24" t="n">
        <f aca="false">K15/F15*1000</f>
        <v>154.190620272315</v>
      </c>
      <c r="M15" s="20" t="s">
        <v>201</v>
      </c>
    </row>
    <row r="16" customFormat="false" ht="15" hidden="false" customHeight="false" outlineLevel="0" collapsed="false">
      <c r="A16" s="18" t="s">
        <v>323</v>
      </c>
      <c r="B16" s="18" t="s">
        <v>49</v>
      </c>
      <c r="C16" s="19" t="s">
        <v>63</v>
      </c>
      <c r="D16" s="18" t="s">
        <v>196</v>
      </c>
      <c r="E16" s="20" t="s">
        <v>315</v>
      </c>
      <c r="F16" s="21" t="n">
        <v>3379</v>
      </c>
      <c r="G16" s="18" t="s">
        <v>198</v>
      </c>
      <c r="H16" s="21" t="n">
        <v>675</v>
      </c>
      <c r="I16" s="22" t="n">
        <v>61.9</v>
      </c>
      <c r="J16" s="25" t="n">
        <v>8</v>
      </c>
      <c r="K16" s="24" t="n">
        <f aca="false">R_ASCON*I16/J16</f>
        <v>495.2</v>
      </c>
      <c r="L16" s="24" t="n">
        <f aca="false">K16/F16*1000</f>
        <v>146.552234388872</v>
      </c>
      <c r="M16" s="20" t="s">
        <v>201</v>
      </c>
    </row>
    <row r="17" customFormat="false" ht="15" hidden="false" customHeight="false" outlineLevel="0" collapsed="false">
      <c r="A17" s="18" t="s">
        <v>324</v>
      </c>
      <c r="B17" s="18" t="s">
        <v>49</v>
      </c>
      <c r="C17" s="19" t="s">
        <v>63</v>
      </c>
      <c r="D17" s="18" t="s">
        <v>196</v>
      </c>
      <c r="E17" s="20" t="s">
        <v>319</v>
      </c>
      <c r="F17" s="21" t="n">
        <v>4646</v>
      </c>
      <c r="G17" s="18" t="s">
        <v>198</v>
      </c>
      <c r="H17" s="21" t="n">
        <v>876</v>
      </c>
      <c r="I17" s="22" t="n">
        <v>55.6</v>
      </c>
      <c r="J17" s="25" t="n">
        <v>6</v>
      </c>
      <c r="K17" s="24" t="n">
        <f aca="false">R_ASCON*I17/J17</f>
        <v>593.066666666667</v>
      </c>
      <c r="L17" s="24" t="n">
        <f aca="false">K17/F17*1000</f>
        <v>127.651025972162</v>
      </c>
      <c r="M17" s="20" t="s">
        <v>202</v>
      </c>
    </row>
    <row r="18" customFormat="false" ht="15" hidden="false" customHeight="false" outlineLevel="0" collapsed="false">
      <c r="A18" s="18" t="s">
        <v>325</v>
      </c>
      <c r="B18" s="18" t="s">
        <v>49</v>
      </c>
      <c r="C18" s="19" t="s">
        <v>63</v>
      </c>
      <c r="D18" s="18" t="s">
        <v>196</v>
      </c>
      <c r="E18" s="20" t="s">
        <v>317</v>
      </c>
      <c r="F18" s="21" t="n">
        <v>4925</v>
      </c>
      <c r="G18" s="18" t="s">
        <v>198</v>
      </c>
      <c r="H18" s="21" t="n">
        <v>862</v>
      </c>
      <c r="I18" s="22" t="n">
        <v>61.2</v>
      </c>
      <c r="J18" s="25" t="n">
        <v>5</v>
      </c>
      <c r="K18" s="24" t="n">
        <f aca="false">R_ASCON*I18/J18</f>
        <v>783.36</v>
      </c>
      <c r="L18" s="24" t="n">
        <f aca="false">K18/F18*1000</f>
        <v>159.057868020305</v>
      </c>
      <c r="M18" s="20" t="s">
        <v>202</v>
      </c>
    </row>
    <row r="19" customFormat="false" ht="15" hidden="false" customHeight="false" outlineLevel="0" collapsed="false">
      <c r="A19" s="18" t="s">
        <v>326</v>
      </c>
      <c r="B19" s="18" t="s">
        <v>49</v>
      </c>
      <c r="C19" s="19" t="s">
        <v>63</v>
      </c>
      <c r="D19" s="18" t="s">
        <v>196</v>
      </c>
      <c r="E19" s="20" t="s">
        <v>327</v>
      </c>
      <c r="F19" s="21" t="n">
        <v>5346</v>
      </c>
      <c r="G19" s="18" t="s">
        <v>198</v>
      </c>
      <c r="H19" s="21" t="n">
        <v>675</v>
      </c>
      <c r="I19" s="22" t="n">
        <v>38.8</v>
      </c>
      <c r="J19" s="25" t="n">
        <v>5</v>
      </c>
      <c r="K19" s="24" t="n">
        <f aca="false">R_ASCON*I19/J19</f>
        <v>496.64</v>
      </c>
      <c r="L19" s="24" t="n">
        <f aca="false">K19/F19*1000</f>
        <v>92.8993640104751</v>
      </c>
      <c r="M19" s="20" t="s">
        <v>328</v>
      </c>
    </row>
    <row r="20" customFormat="false" ht="15" hidden="false" customHeight="false" outlineLevel="0" collapsed="false">
      <c r="A20" s="18" t="s">
        <v>329</v>
      </c>
      <c r="B20" s="18" t="s">
        <v>78</v>
      </c>
      <c r="C20" s="19" t="s">
        <v>99</v>
      </c>
      <c r="D20" s="18" t="s">
        <v>103</v>
      </c>
      <c r="E20" s="20" t="s">
        <v>100</v>
      </c>
      <c r="F20" s="21" t="n">
        <v>3622</v>
      </c>
      <c r="G20" s="18" t="s">
        <v>95</v>
      </c>
      <c r="H20" s="38" t="s">
        <v>54</v>
      </c>
      <c r="I20" s="22" t="n">
        <v>185.05</v>
      </c>
      <c r="J20" s="25" t="n">
        <v>41</v>
      </c>
      <c r="K20" s="24" t="n">
        <f aca="false">R_256*I20/J20</f>
        <v>4910.59512195122</v>
      </c>
      <c r="L20" s="24" t="n">
        <f aca="false">K20/F20*1000</f>
        <v>1355.76894587278</v>
      </c>
      <c r="M20" s="20" t="s">
        <v>101</v>
      </c>
    </row>
    <row r="21" customFormat="false" ht="15" hidden="false" customHeight="false" outlineLevel="0" collapsed="false">
      <c r="A21" s="18" t="s">
        <v>330</v>
      </c>
      <c r="B21" s="18" t="s">
        <v>78</v>
      </c>
      <c r="C21" s="19" t="s">
        <v>102</v>
      </c>
      <c r="D21" s="18" t="s">
        <v>103</v>
      </c>
      <c r="E21" s="20" t="s">
        <v>331</v>
      </c>
      <c r="F21" s="21" t="n">
        <v>5494</v>
      </c>
      <c r="G21" s="18" t="s">
        <v>95</v>
      </c>
      <c r="H21" s="38" t="s">
        <v>54</v>
      </c>
      <c r="I21" s="22" t="n">
        <v>269</v>
      </c>
      <c r="J21" s="25" t="n">
        <v>24</v>
      </c>
      <c r="K21" s="42" t="n">
        <f aca="false">R_256*I21/J21</f>
        <v>12194.6666666667</v>
      </c>
      <c r="L21" s="24" t="n">
        <f aca="false">K21/F21*1000</f>
        <v>2219.63353961898</v>
      </c>
      <c r="M21" s="20" t="s">
        <v>101</v>
      </c>
    </row>
    <row r="22" customFormat="false" ht="15" hidden="false" customHeight="false" outlineLevel="0" collapsed="false">
      <c r="A22" s="18" t="s">
        <v>332</v>
      </c>
      <c r="B22" s="18" t="s">
        <v>78</v>
      </c>
      <c r="C22" s="19" t="s">
        <v>333</v>
      </c>
      <c r="D22" s="18" t="s">
        <v>106</v>
      </c>
      <c r="E22" s="20" t="s">
        <v>334</v>
      </c>
      <c r="F22" s="21" t="n">
        <v>935</v>
      </c>
      <c r="G22" s="18" t="s">
        <v>95</v>
      </c>
      <c r="H22" s="38" t="s">
        <v>54</v>
      </c>
      <c r="I22" s="22" t="n">
        <v>338.409</v>
      </c>
      <c r="J22" s="25" t="n">
        <v>24</v>
      </c>
      <c r="K22" s="24" t="n">
        <f aca="false">R_256*I22/J22</f>
        <v>15341.208</v>
      </c>
      <c r="L22" s="24" t="n">
        <f aca="false">K22/F22*1000</f>
        <v>16407.7090909091</v>
      </c>
      <c r="M22" s="20" t="s">
        <v>111</v>
      </c>
    </row>
    <row r="23" customFormat="false" ht="15" hidden="false" customHeight="false" outlineLevel="0" collapsed="false">
      <c r="A23" s="18" t="s">
        <v>335</v>
      </c>
      <c r="B23" s="18" t="s">
        <v>78</v>
      </c>
      <c r="C23" s="19" t="s">
        <v>336</v>
      </c>
      <c r="D23" s="18" t="s">
        <v>106</v>
      </c>
      <c r="E23" s="20" t="s">
        <v>337</v>
      </c>
      <c r="F23" s="21" t="n">
        <v>1117</v>
      </c>
      <c r="G23" s="18" t="s">
        <v>95</v>
      </c>
      <c r="H23" s="38" t="s">
        <v>54</v>
      </c>
      <c r="I23" s="22" t="n">
        <v>189</v>
      </c>
      <c r="J23" s="25" t="n">
        <v>25</v>
      </c>
      <c r="K23" s="42" t="n">
        <f aca="false">R_256*I23/J23</f>
        <v>8225.28</v>
      </c>
      <c r="L23" s="24" t="n">
        <f aca="false">K23/F23*1000</f>
        <v>7363.7242614145</v>
      </c>
      <c r="M23" s="20" t="s">
        <v>338</v>
      </c>
    </row>
    <row r="24" customFormat="false" ht="15" hidden="false" customHeight="false" outlineLevel="0" collapsed="false">
      <c r="A24" s="18" t="s">
        <v>339</v>
      </c>
      <c r="B24" s="18" t="s">
        <v>78</v>
      </c>
      <c r="C24" s="19" t="s">
        <v>109</v>
      </c>
      <c r="D24" s="18" t="s">
        <v>106</v>
      </c>
      <c r="E24" s="20" t="s">
        <v>340</v>
      </c>
      <c r="F24" s="21" t="n">
        <v>1163</v>
      </c>
      <c r="G24" s="18" t="s">
        <v>95</v>
      </c>
      <c r="H24" s="38" t="s">
        <v>54</v>
      </c>
      <c r="I24" s="22" t="n">
        <v>273</v>
      </c>
      <c r="J24" s="25" t="n">
        <v>48</v>
      </c>
      <c r="K24" s="42" t="n">
        <f aca="false">R_256*I24/J24</f>
        <v>6188</v>
      </c>
      <c r="L24" s="24" t="n">
        <f aca="false">K24/F24*1000</f>
        <v>5320.7222699914</v>
      </c>
      <c r="M24" s="20" t="s">
        <v>338</v>
      </c>
    </row>
    <row r="25" customFormat="false" ht="15" hidden="false" customHeight="false" outlineLevel="0" collapsed="false">
      <c r="A25" s="18" t="s">
        <v>341</v>
      </c>
      <c r="B25" s="18" t="s">
        <v>78</v>
      </c>
      <c r="C25" s="19" t="s">
        <v>109</v>
      </c>
      <c r="D25" s="18" t="s">
        <v>106</v>
      </c>
      <c r="E25" s="20" t="s">
        <v>342</v>
      </c>
      <c r="F25" s="21" t="n">
        <v>1192</v>
      </c>
      <c r="G25" s="18" t="s">
        <v>95</v>
      </c>
      <c r="H25" s="38" t="s">
        <v>54</v>
      </c>
      <c r="I25" s="22" t="n">
        <v>223</v>
      </c>
      <c r="J25" s="25" t="n">
        <v>24</v>
      </c>
      <c r="K25" s="24" t="n">
        <f aca="false">R_256*I25/J25</f>
        <v>10109.3333333333</v>
      </c>
      <c r="L25" s="24" t="n">
        <f aca="false">K25/F25*1000</f>
        <v>8480.98434004474</v>
      </c>
      <c r="M25" s="20" t="s">
        <v>343</v>
      </c>
    </row>
    <row r="26" customFormat="false" ht="15" hidden="false" customHeight="false" outlineLevel="0" collapsed="false">
      <c r="A26" s="18" t="s">
        <v>344</v>
      </c>
      <c r="B26" s="18" t="s">
        <v>78</v>
      </c>
      <c r="C26" s="19" t="s">
        <v>149</v>
      </c>
      <c r="D26" s="18" t="s">
        <v>106</v>
      </c>
      <c r="E26" s="20" t="s">
        <v>150</v>
      </c>
      <c r="F26" s="21" t="n">
        <v>1434</v>
      </c>
      <c r="G26" s="18" t="s">
        <v>95</v>
      </c>
      <c r="H26" s="21" t="n">
        <v>2640</v>
      </c>
      <c r="I26" s="22" t="n">
        <v>111.732</v>
      </c>
      <c r="J26" s="25" t="n">
        <v>24</v>
      </c>
      <c r="K26" s="42" t="n">
        <f aca="false">R_256*I26/J26</f>
        <v>5065.184</v>
      </c>
      <c r="L26" s="24" t="n">
        <f aca="false">K26/F26*1000</f>
        <v>3532.20641562064</v>
      </c>
      <c r="M26" s="20" t="s">
        <v>343</v>
      </c>
    </row>
    <row r="27" customFormat="false" ht="15" hidden="false" customHeight="false" outlineLevel="0" collapsed="false">
      <c r="A27" s="18" t="s">
        <v>345</v>
      </c>
      <c r="B27" s="18" t="s">
        <v>78</v>
      </c>
      <c r="C27" s="19" t="s">
        <v>102</v>
      </c>
      <c r="D27" s="18" t="s">
        <v>106</v>
      </c>
      <c r="E27" s="20" t="s">
        <v>104</v>
      </c>
      <c r="F27" s="21" t="n">
        <v>1581</v>
      </c>
      <c r="G27" s="18" t="s">
        <v>95</v>
      </c>
      <c r="H27" s="38" t="s">
        <v>54</v>
      </c>
      <c r="I27" s="22" t="n">
        <v>382</v>
      </c>
      <c r="J27" s="25" t="n">
        <v>24</v>
      </c>
      <c r="K27" s="24" t="n">
        <f aca="false">R_256*I27/J27</f>
        <v>17317.3333333333</v>
      </c>
      <c r="L27" s="24" t="n">
        <f aca="false">K27/F27*1000</f>
        <v>10953.4050179211</v>
      </c>
      <c r="M27" s="20" t="s">
        <v>346</v>
      </c>
    </row>
    <row r="28" customFormat="false" ht="15" hidden="false" customHeight="false" outlineLevel="0" collapsed="false">
      <c r="A28" s="18" t="s">
        <v>347</v>
      </c>
      <c r="B28" s="18" t="s">
        <v>78</v>
      </c>
      <c r="C28" s="19" t="s">
        <v>99</v>
      </c>
      <c r="D28" s="18" t="s">
        <v>106</v>
      </c>
      <c r="E28" s="20" t="s">
        <v>100</v>
      </c>
      <c r="F28" s="21" t="n">
        <v>1647</v>
      </c>
      <c r="G28" s="18" t="s">
        <v>95</v>
      </c>
      <c r="H28" s="38" t="s">
        <v>54</v>
      </c>
      <c r="I28" s="22" t="n">
        <v>137.01</v>
      </c>
      <c r="J28" s="25" t="n">
        <v>41</v>
      </c>
      <c r="K28" s="24" t="n">
        <f aca="false">R_256*I28/J28</f>
        <v>3635.77756097561</v>
      </c>
      <c r="L28" s="24" t="n">
        <f aca="false">K28/F28*1000</f>
        <v>2207.51521613577</v>
      </c>
      <c r="M28" s="20" t="s">
        <v>343</v>
      </c>
    </row>
    <row r="29" customFormat="false" ht="15" hidden="false" customHeight="false" outlineLevel="0" collapsed="false">
      <c r="A29" s="18" t="s">
        <v>348</v>
      </c>
      <c r="B29" s="18" t="s">
        <v>78</v>
      </c>
      <c r="C29" s="19" t="s">
        <v>349</v>
      </c>
      <c r="D29" s="18" t="s">
        <v>106</v>
      </c>
      <c r="E29" s="20" t="s">
        <v>350</v>
      </c>
      <c r="F29" s="21" t="n">
        <v>1702</v>
      </c>
      <c r="G29" s="18" t="s">
        <v>95</v>
      </c>
      <c r="H29" s="38" t="s">
        <v>54</v>
      </c>
      <c r="I29" s="22" t="n">
        <v>389</v>
      </c>
      <c r="J29" s="25" t="n">
        <v>48</v>
      </c>
      <c r="K29" s="42" t="n">
        <f aca="false">R_256*I29/J29</f>
        <v>8817.33333333333</v>
      </c>
      <c r="L29" s="24" t="n">
        <f aca="false">K29/F29*1000</f>
        <v>5180.57187622405</v>
      </c>
      <c r="M29" s="20" t="s">
        <v>343</v>
      </c>
    </row>
    <row r="30" customFormat="false" ht="15" hidden="false" customHeight="false" outlineLevel="0" collapsed="false">
      <c r="A30" s="18" t="s">
        <v>351</v>
      </c>
      <c r="B30" s="18" t="s">
        <v>78</v>
      </c>
      <c r="C30" s="19" t="s">
        <v>336</v>
      </c>
      <c r="D30" s="18" t="s">
        <v>106</v>
      </c>
      <c r="E30" s="20" t="s">
        <v>352</v>
      </c>
      <c r="F30" s="21" t="n">
        <v>1971</v>
      </c>
      <c r="G30" s="18" t="s">
        <v>95</v>
      </c>
      <c r="H30" s="38" t="s">
        <v>54</v>
      </c>
      <c r="I30" s="22" t="n">
        <v>195.733</v>
      </c>
      <c r="J30" s="25" t="n">
        <v>25</v>
      </c>
      <c r="K30" s="42" t="n">
        <f aca="false">R_256*I30/J30</f>
        <v>8518.30016</v>
      </c>
      <c r="L30" s="24" t="n">
        <f aca="false">K30/F30*1000</f>
        <v>4321.8164180619</v>
      </c>
      <c r="M30" s="20" t="s">
        <v>343</v>
      </c>
    </row>
    <row r="31" customFormat="false" ht="15" hidden="false" customHeight="false" outlineLevel="0" collapsed="false">
      <c r="A31" s="18" t="s">
        <v>353</v>
      </c>
      <c r="B31" s="18" t="s">
        <v>78</v>
      </c>
      <c r="C31" s="19" t="s">
        <v>149</v>
      </c>
      <c r="D31" s="18" t="s">
        <v>106</v>
      </c>
      <c r="E31" s="20" t="s">
        <v>177</v>
      </c>
      <c r="F31" s="21" t="n">
        <v>2636</v>
      </c>
      <c r="G31" s="18" t="s">
        <v>95</v>
      </c>
      <c r="H31" s="21" t="n">
        <v>2652</v>
      </c>
      <c r="I31" s="22" t="n">
        <v>84.21</v>
      </c>
      <c r="J31" s="25" t="n">
        <v>16</v>
      </c>
      <c r="K31" s="42" t="n">
        <f aca="false">R_256*I31/J31</f>
        <v>5726.28</v>
      </c>
      <c r="L31" s="24" t="n">
        <f aca="false">K31/F31*1000</f>
        <v>2172.33687405159</v>
      </c>
      <c r="M31" s="20" t="s">
        <v>343</v>
      </c>
    </row>
    <row r="32" customFormat="false" ht="15" hidden="false" customHeight="false" outlineLevel="0" collapsed="false">
      <c r="A32" s="18" t="s">
        <v>354</v>
      </c>
      <c r="B32" s="18" t="s">
        <v>78</v>
      </c>
      <c r="C32" s="19" t="s">
        <v>102</v>
      </c>
      <c r="D32" s="18" t="s">
        <v>106</v>
      </c>
      <c r="E32" s="20" t="s">
        <v>331</v>
      </c>
      <c r="F32" s="21" t="n">
        <v>2652</v>
      </c>
      <c r="G32" s="18" t="s">
        <v>95</v>
      </c>
      <c r="H32" s="38" t="s">
        <v>54</v>
      </c>
      <c r="I32" s="22" t="n">
        <v>352</v>
      </c>
      <c r="J32" s="25" t="n">
        <v>24</v>
      </c>
      <c r="K32" s="42" t="n">
        <f aca="false">R_256*I32/J32</f>
        <v>15957.3333333333</v>
      </c>
      <c r="L32" s="24" t="n">
        <f aca="false">K32/F32*1000</f>
        <v>6017.09401709402</v>
      </c>
      <c r="M32" s="20" t="s">
        <v>346</v>
      </c>
    </row>
    <row r="33" customFormat="false" ht="15" hidden="false" customHeight="false" outlineLevel="0" collapsed="false">
      <c r="A33" s="18" t="s">
        <v>355</v>
      </c>
      <c r="B33" s="18" t="s">
        <v>78</v>
      </c>
      <c r="C33" s="19" t="s">
        <v>92</v>
      </c>
      <c r="D33" s="18" t="s">
        <v>51</v>
      </c>
      <c r="E33" s="20" t="s">
        <v>94</v>
      </c>
      <c r="F33" s="21" t="n">
        <v>127</v>
      </c>
      <c r="G33" s="18" t="s">
        <v>95</v>
      </c>
      <c r="H33" s="38" t="s">
        <v>54</v>
      </c>
      <c r="I33" s="39" t="n">
        <f aca="false">1000/5.07</f>
        <v>197.23865877712</v>
      </c>
      <c r="K33" s="40" t="n">
        <v>57</v>
      </c>
      <c r="L33" s="24" t="n">
        <f aca="false">K33/F33*1000</f>
        <v>448.818897637795</v>
      </c>
      <c r="M33" s="20" t="s">
        <v>119</v>
      </c>
    </row>
    <row r="34" customFormat="false" ht="15" hidden="false" customHeight="false" outlineLevel="0" collapsed="false">
      <c r="A34" s="18" t="s">
        <v>356</v>
      </c>
      <c r="B34" s="18" t="s">
        <v>78</v>
      </c>
      <c r="C34" s="19" t="s">
        <v>92</v>
      </c>
      <c r="D34" s="18" t="s">
        <v>80</v>
      </c>
      <c r="E34" s="20" t="s">
        <v>94</v>
      </c>
      <c r="F34" s="21" t="n">
        <v>129</v>
      </c>
      <c r="G34" s="18" t="s">
        <v>95</v>
      </c>
      <c r="H34" s="38" t="s">
        <v>54</v>
      </c>
      <c r="I34" s="39" t="n">
        <f aca="false">1000/3.84</f>
        <v>260.416666666667</v>
      </c>
      <c r="K34" s="40" t="n">
        <v>75.2</v>
      </c>
      <c r="L34" s="24" t="n">
        <f aca="false">K34/F34*1000</f>
        <v>582.945736434109</v>
      </c>
      <c r="M34" s="20" t="s">
        <v>123</v>
      </c>
    </row>
    <row r="35" customFormat="false" ht="15" hidden="false" customHeight="false" outlineLevel="0" collapsed="false">
      <c r="A35" s="18" t="s">
        <v>357</v>
      </c>
      <c r="B35" s="18" t="s">
        <v>78</v>
      </c>
      <c r="C35" s="19" t="s">
        <v>333</v>
      </c>
      <c r="D35" s="18" t="s">
        <v>80</v>
      </c>
      <c r="E35" s="20" t="s">
        <v>334</v>
      </c>
      <c r="F35" s="21" t="n">
        <v>1019</v>
      </c>
      <c r="G35" s="18" t="s">
        <v>95</v>
      </c>
      <c r="H35" s="38" t="s">
        <v>54</v>
      </c>
      <c r="I35" s="22" t="n">
        <v>376.081</v>
      </c>
      <c r="J35" s="25" t="n">
        <v>24</v>
      </c>
      <c r="K35" s="24" t="n">
        <f aca="false">R_256*I35/J35</f>
        <v>17049.0053333333</v>
      </c>
      <c r="L35" s="24" t="n">
        <f aca="false">K35/F35*1000</f>
        <v>16731.1141642133</v>
      </c>
      <c r="M35" s="20" t="s">
        <v>124</v>
      </c>
    </row>
    <row r="36" customFormat="false" ht="15" hidden="false" customHeight="false" outlineLevel="0" collapsed="false">
      <c r="A36" s="18" t="s">
        <v>358</v>
      </c>
      <c r="B36" s="18" t="s">
        <v>78</v>
      </c>
      <c r="C36" s="19" t="s">
        <v>121</v>
      </c>
      <c r="D36" s="18" t="s">
        <v>80</v>
      </c>
      <c r="E36" s="20" t="s">
        <v>122</v>
      </c>
      <c r="F36" s="21" t="n">
        <v>1048</v>
      </c>
      <c r="G36" s="18" t="s">
        <v>95</v>
      </c>
      <c r="H36" s="38" t="s">
        <v>54</v>
      </c>
      <c r="I36" s="22" t="n">
        <v>194.78</v>
      </c>
      <c r="J36" s="25" t="n">
        <v>24</v>
      </c>
      <c r="K36" s="24" t="n">
        <f aca="false">R_256*I36/J36</f>
        <v>8830.02666666667</v>
      </c>
      <c r="L36" s="24" t="n">
        <f aca="false">K36/F36*1000</f>
        <v>8425.59796437659</v>
      </c>
      <c r="M36" s="20" t="s">
        <v>124</v>
      </c>
    </row>
    <row r="37" customFormat="false" ht="15" hidden="false" customHeight="false" outlineLevel="0" collapsed="false">
      <c r="A37" s="18" t="s">
        <v>359</v>
      </c>
      <c r="B37" s="18" t="s">
        <v>78</v>
      </c>
      <c r="C37" s="19" t="s">
        <v>102</v>
      </c>
      <c r="D37" s="18" t="s">
        <v>80</v>
      </c>
      <c r="E37" s="20" t="s">
        <v>104</v>
      </c>
      <c r="F37" s="21" t="n">
        <v>1115</v>
      </c>
      <c r="G37" s="18" t="s">
        <v>95</v>
      </c>
      <c r="H37" s="38" t="s">
        <v>54</v>
      </c>
      <c r="I37" s="22" t="n">
        <v>412</v>
      </c>
      <c r="J37" s="25" t="n">
        <v>24</v>
      </c>
      <c r="K37" s="24" t="n">
        <f aca="false">R_256*I37/J37</f>
        <v>18677.3333333333</v>
      </c>
      <c r="L37" s="24" t="n">
        <f aca="false">K37/F37*1000</f>
        <v>16750.9715994021</v>
      </c>
      <c r="M37" s="20" t="s">
        <v>124</v>
      </c>
    </row>
    <row r="38" customFormat="false" ht="15" hidden="false" customHeight="false" outlineLevel="0" collapsed="false">
      <c r="A38" s="18" t="s">
        <v>360</v>
      </c>
      <c r="B38" s="18" t="s">
        <v>78</v>
      </c>
      <c r="C38" s="19" t="s">
        <v>99</v>
      </c>
      <c r="D38" s="18" t="s">
        <v>80</v>
      </c>
      <c r="E38" s="20" t="s">
        <v>100</v>
      </c>
      <c r="F38" s="21" t="n">
        <v>1181</v>
      </c>
      <c r="G38" s="18" t="s">
        <v>95</v>
      </c>
      <c r="H38" s="38" t="s">
        <v>54</v>
      </c>
      <c r="I38" s="22" t="n">
        <v>251.7</v>
      </c>
      <c r="J38" s="25" t="n">
        <v>41</v>
      </c>
      <c r="K38" s="24" t="n">
        <f aca="false">R_256*I38/J38</f>
        <v>6679.25853658537</v>
      </c>
      <c r="L38" s="24" t="n">
        <f aca="false">K38/F38*1000</f>
        <v>5655.59571260404</v>
      </c>
      <c r="M38" s="20" t="s">
        <v>124</v>
      </c>
    </row>
    <row r="39" customFormat="false" ht="15" hidden="false" customHeight="false" outlineLevel="0" collapsed="false">
      <c r="A39" s="18" t="s">
        <v>361</v>
      </c>
      <c r="B39" s="18" t="s">
        <v>78</v>
      </c>
      <c r="C39" s="19" t="s">
        <v>362</v>
      </c>
      <c r="D39" s="18" t="s">
        <v>80</v>
      </c>
      <c r="E39" s="20" t="s">
        <v>363</v>
      </c>
      <c r="F39" s="21" t="n">
        <v>1345</v>
      </c>
      <c r="G39" s="18" t="s">
        <v>95</v>
      </c>
      <c r="H39" s="38" t="s">
        <v>54</v>
      </c>
      <c r="I39" s="53" t="s">
        <v>54</v>
      </c>
      <c r="K39" s="23" t="n">
        <v>13960</v>
      </c>
      <c r="L39" s="24" t="n">
        <f aca="false">K39/F39*1000</f>
        <v>10379.1821561338</v>
      </c>
      <c r="M39" s="20" t="s">
        <v>364</v>
      </c>
    </row>
    <row r="40" customFormat="false" ht="15" hidden="false" customHeight="false" outlineLevel="0" collapsed="false">
      <c r="A40" s="18" t="s">
        <v>365</v>
      </c>
      <c r="B40" s="18" t="s">
        <v>78</v>
      </c>
      <c r="C40" s="19" t="s">
        <v>117</v>
      </c>
      <c r="D40" s="18" t="s">
        <v>80</v>
      </c>
      <c r="E40" s="20" t="s">
        <v>118</v>
      </c>
      <c r="F40" s="21" t="n">
        <v>1348</v>
      </c>
      <c r="G40" s="18" t="s">
        <v>95</v>
      </c>
      <c r="H40" s="38" t="s">
        <v>54</v>
      </c>
      <c r="I40" s="22" t="n">
        <v>344.62</v>
      </c>
      <c r="K40" s="40" t="n">
        <v>31246</v>
      </c>
      <c r="L40" s="24" t="n">
        <f aca="false">K40/F40*1000</f>
        <v>23179.5252225519</v>
      </c>
      <c r="M40" s="20" t="s">
        <v>125</v>
      </c>
    </row>
    <row r="41" customFormat="false" ht="15" hidden="false" customHeight="false" outlineLevel="0" collapsed="false">
      <c r="A41" s="18" t="s">
        <v>366</v>
      </c>
      <c r="B41" s="18" t="s">
        <v>78</v>
      </c>
      <c r="C41" s="19" t="s">
        <v>367</v>
      </c>
      <c r="D41" s="18" t="s">
        <v>80</v>
      </c>
      <c r="E41" s="20" t="s">
        <v>368</v>
      </c>
      <c r="F41" s="21" t="n">
        <v>1406</v>
      </c>
      <c r="G41" s="18" t="s">
        <v>95</v>
      </c>
      <c r="H41" s="38" t="s">
        <v>54</v>
      </c>
      <c r="I41" s="22" t="n">
        <v>344</v>
      </c>
      <c r="J41" s="25" t="n">
        <v>12</v>
      </c>
      <c r="K41" s="24" t="n">
        <f aca="false">R_256*I41/J41</f>
        <v>31189.3333333333</v>
      </c>
      <c r="L41" s="24" t="n">
        <f aca="false">K41/F41*1000</f>
        <v>22183.0251303935</v>
      </c>
      <c r="M41" s="20" t="s">
        <v>125</v>
      </c>
    </row>
    <row r="42" customFormat="false" ht="15" hidden="false" customHeight="false" outlineLevel="0" collapsed="false">
      <c r="A42" s="18" t="s">
        <v>369</v>
      </c>
      <c r="B42" s="18" t="s">
        <v>78</v>
      </c>
      <c r="C42" s="19" t="s">
        <v>370</v>
      </c>
      <c r="D42" s="18" t="s">
        <v>80</v>
      </c>
      <c r="E42" s="20" t="s">
        <v>371</v>
      </c>
      <c r="F42" s="21" t="n">
        <v>1432</v>
      </c>
      <c r="G42" s="18" t="s">
        <v>95</v>
      </c>
      <c r="H42" s="38" t="s">
        <v>54</v>
      </c>
      <c r="I42" s="22" t="n">
        <v>413.8</v>
      </c>
      <c r="J42" s="25" t="n">
        <v>24</v>
      </c>
      <c r="K42" s="24" t="n">
        <f aca="false">R_256*I42/J42</f>
        <v>18758.9333333333</v>
      </c>
      <c r="L42" s="24" t="n">
        <f aca="false">K42/F42*1000</f>
        <v>13099.8137802607</v>
      </c>
      <c r="M42" s="20" t="s">
        <v>364</v>
      </c>
    </row>
    <row r="43" customFormat="false" ht="15" hidden="false" customHeight="false" outlineLevel="0" collapsed="false">
      <c r="A43" s="18" t="s">
        <v>372</v>
      </c>
      <c r="B43" s="18" t="s">
        <v>78</v>
      </c>
      <c r="C43" s="19" t="s">
        <v>349</v>
      </c>
      <c r="D43" s="18" t="s">
        <v>80</v>
      </c>
      <c r="E43" s="20" t="s">
        <v>350</v>
      </c>
      <c r="F43" s="21" t="n">
        <v>1649</v>
      </c>
      <c r="G43" s="18" t="s">
        <v>95</v>
      </c>
      <c r="H43" s="38" t="s">
        <v>54</v>
      </c>
      <c r="I43" s="22" t="n">
        <v>397</v>
      </c>
      <c r="J43" s="25" t="n">
        <v>48</v>
      </c>
      <c r="K43" s="42" t="n">
        <f aca="false">R_256*I43/J43</f>
        <v>8998.66666666667</v>
      </c>
      <c r="L43" s="24" t="n">
        <f aca="false">K43/F43*1000</f>
        <v>5457.04467353952</v>
      </c>
      <c r="M43" s="20" t="s">
        <v>364</v>
      </c>
    </row>
    <row r="44" customFormat="false" ht="15" hidden="false" customHeight="false" outlineLevel="0" collapsed="false">
      <c r="A44" s="18" t="s">
        <v>373</v>
      </c>
      <c r="B44" s="18" t="s">
        <v>78</v>
      </c>
      <c r="C44" s="19" t="s">
        <v>102</v>
      </c>
      <c r="D44" s="18" t="s">
        <v>80</v>
      </c>
      <c r="E44" s="20" t="s">
        <v>331</v>
      </c>
      <c r="F44" s="21" t="n">
        <v>2296</v>
      </c>
      <c r="G44" s="18" t="s">
        <v>95</v>
      </c>
      <c r="H44" s="38" t="s">
        <v>54</v>
      </c>
      <c r="I44" s="22" t="n">
        <v>391</v>
      </c>
      <c r="J44" s="25" t="n">
        <v>24</v>
      </c>
      <c r="K44" s="42" t="n">
        <f aca="false">R_256*I44/J44</f>
        <v>17725.3333333333</v>
      </c>
      <c r="L44" s="24" t="n">
        <f aca="false">K44/F44*1000</f>
        <v>7720.09291521487</v>
      </c>
      <c r="M44" s="20" t="s">
        <v>364</v>
      </c>
    </row>
    <row r="45" customFormat="false" ht="15" hidden="false" customHeight="false" outlineLevel="0" collapsed="false">
      <c r="A45" s="18" t="s">
        <v>374</v>
      </c>
      <c r="B45" s="18" t="s">
        <v>78</v>
      </c>
      <c r="C45" s="19" t="s">
        <v>121</v>
      </c>
      <c r="D45" s="18" t="s">
        <v>57</v>
      </c>
      <c r="E45" s="20" t="s">
        <v>122</v>
      </c>
      <c r="F45" s="21" t="n">
        <v>982</v>
      </c>
      <c r="G45" s="18" t="s">
        <v>95</v>
      </c>
      <c r="H45" s="38" t="s">
        <v>54</v>
      </c>
      <c r="I45" s="22" t="n">
        <v>192.75</v>
      </c>
      <c r="J45" s="25" t="n">
        <v>24</v>
      </c>
      <c r="K45" s="24" t="n">
        <f aca="false">R_256*I45/J45</f>
        <v>8738</v>
      </c>
      <c r="L45" s="24" t="n">
        <f aca="false">K45/F45*1000</f>
        <v>8898.16700610998</v>
      </c>
      <c r="M45" s="20" t="s">
        <v>126</v>
      </c>
    </row>
    <row r="46" customFormat="false" ht="15" hidden="false" customHeight="false" outlineLevel="0" collapsed="false">
      <c r="A46" s="18" t="s">
        <v>375</v>
      </c>
      <c r="B46" s="18" t="s">
        <v>78</v>
      </c>
      <c r="C46" s="19" t="s">
        <v>99</v>
      </c>
      <c r="D46" s="18" t="s">
        <v>88</v>
      </c>
      <c r="E46" s="20" t="s">
        <v>100</v>
      </c>
      <c r="F46" s="21" t="n">
        <v>1416</v>
      </c>
      <c r="G46" s="18" t="s">
        <v>95</v>
      </c>
      <c r="H46" s="38" t="s">
        <v>54</v>
      </c>
      <c r="I46" s="22" t="n">
        <v>309.69</v>
      </c>
      <c r="J46" s="25" t="n">
        <v>41</v>
      </c>
      <c r="K46" s="24" t="n">
        <f aca="false">R_256*I46/J46</f>
        <v>8218.11512195122</v>
      </c>
      <c r="L46" s="24" t="n">
        <f aca="false">K46/F46*1000</f>
        <v>5803.75361719719</v>
      </c>
      <c r="M46" s="20" t="s">
        <v>128</v>
      </c>
    </row>
    <row r="47" customFormat="false" ht="15" hidden="false" customHeight="false" outlineLevel="0" collapsed="false">
      <c r="A47" s="18" t="s">
        <v>376</v>
      </c>
      <c r="B47" s="18" t="s">
        <v>78</v>
      </c>
      <c r="C47" s="19" t="s">
        <v>377</v>
      </c>
      <c r="D47" s="18" t="s">
        <v>71</v>
      </c>
      <c r="E47" s="20" t="s">
        <v>342</v>
      </c>
      <c r="F47" s="21" t="n">
        <v>1154</v>
      </c>
      <c r="G47" s="18" t="s">
        <v>95</v>
      </c>
      <c r="H47" s="38" t="s">
        <v>54</v>
      </c>
      <c r="I47" s="22" t="n">
        <v>476.2</v>
      </c>
      <c r="J47" s="25" t="n">
        <v>24</v>
      </c>
      <c r="K47" s="24" t="n">
        <f aca="false">R_256*I47/J47</f>
        <v>21587.7333333333</v>
      </c>
      <c r="L47" s="24" t="n">
        <f aca="false">K47/F47*1000</f>
        <v>18706.874638937</v>
      </c>
      <c r="M47" s="20" t="s">
        <v>129</v>
      </c>
    </row>
    <row r="48" customFormat="false" ht="23.85" hidden="false" customHeight="false" outlineLevel="0" collapsed="false">
      <c r="A48" s="18" t="s">
        <v>378</v>
      </c>
      <c r="B48" s="18" t="s">
        <v>78</v>
      </c>
      <c r="C48" s="19" t="s">
        <v>362</v>
      </c>
      <c r="D48" s="18" t="s">
        <v>71</v>
      </c>
      <c r="E48" s="20" t="s">
        <v>379</v>
      </c>
      <c r="F48" s="21" t="n">
        <v>1250</v>
      </c>
      <c r="G48" s="18" t="s">
        <v>95</v>
      </c>
      <c r="H48" s="38" t="s">
        <v>54</v>
      </c>
      <c r="I48" s="22" t="n">
        <v>364.3</v>
      </c>
      <c r="J48" s="25" t="n">
        <v>24</v>
      </c>
      <c r="K48" s="42" t="n">
        <f aca="false">R_256*I48/J48</f>
        <v>16514.9333333333</v>
      </c>
      <c r="L48" s="24" t="n">
        <f aca="false">K48/F48*1000</f>
        <v>13211.9466666667</v>
      </c>
      <c r="M48" s="20" t="s">
        <v>129</v>
      </c>
    </row>
    <row r="49" customFormat="false" ht="15" hidden="false" customHeight="false" outlineLevel="0" collapsed="false">
      <c r="A49" s="18" t="s">
        <v>380</v>
      </c>
      <c r="B49" s="18" t="s">
        <v>78</v>
      </c>
      <c r="C49" s="19" t="s">
        <v>349</v>
      </c>
      <c r="D49" s="18" t="s">
        <v>71</v>
      </c>
      <c r="E49" s="20" t="s">
        <v>350</v>
      </c>
      <c r="F49" s="21" t="n">
        <v>1618</v>
      </c>
      <c r="G49" s="18" t="s">
        <v>95</v>
      </c>
      <c r="H49" s="38" t="s">
        <v>54</v>
      </c>
      <c r="I49" s="22" t="n">
        <v>434</v>
      </c>
      <c r="J49" s="25" t="n">
        <v>48</v>
      </c>
      <c r="K49" s="42" t="n">
        <f aca="false">R_256*I49/J49</f>
        <v>9837.33333333333</v>
      </c>
      <c r="L49" s="24" t="n">
        <f aca="false">K49/F49*1000</f>
        <v>6079.9340749897</v>
      </c>
      <c r="M49" s="20" t="s">
        <v>381</v>
      </c>
    </row>
    <row r="50" customFormat="false" ht="15" hidden="false" customHeight="false" outlineLevel="0" collapsed="false">
      <c r="A50" s="18" t="s">
        <v>382</v>
      </c>
      <c r="B50" s="18" t="s">
        <v>78</v>
      </c>
      <c r="C50" s="19" t="s">
        <v>188</v>
      </c>
      <c r="D50" s="18" t="s">
        <v>163</v>
      </c>
      <c r="E50" s="20" t="s">
        <v>383</v>
      </c>
      <c r="F50" s="45" t="n">
        <f aca="false">0.1875*A10_GX1150_ALM</f>
        <v>80100</v>
      </c>
      <c r="G50" s="18" t="s">
        <v>142</v>
      </c>
      <c r="H50" s="38" t="s">
        <v>54</v>
      </c>
      <c r="I50" s="22" t="n">
        <v>256</v>
      </c>
      <c r="K50" s="40" t="n">
        <v>12250</v>
      </c>
      <c r="L50" s="24" t="n">
        <f aca="false">K50/F50*1000</f>
        <v>152.933832709114</v>
      </c>
      <c r="M50" s="20" t="s">
        <v>187</v>
      </c>
    </row>
    <row r="51" customFormat="false" ht="15" hidden="false" customHeight="false" outlineLevel="0" collapsed="false">
      <c r="A51" s="18" t="s">
        <v>384</v>
      </c>
      <c r="B51" s="18" t="s">
        <v>78</v>
      </c>
      <c r="C51" s="19" t="s">
        <v>385</v>
      </c>
      <c r="D51" s="18" t="s">
        <v>163</v>
      </c>
      <c r="E51" s="20" t="s">
        <v>164</v>
      </c>
      <c r="F51" s="21" t="n">
        <v>2776</v>
      </c>
      <c r="G51" s="18" t="s">
        <v>165</v>
      </c>
      <c r="H51" s="38" t="s">
        <v>54</v>
      </c>
      <c r="I51" s="22" t="n">
        <v>692</v>
      </c>
      <c r="J51" s="25" t="n">
        <v>27</v>
      </c>
      <c r="K51" s="42" t="n">
        <f aca="false">R_256*I51/J51</f>
        <v>27885.037037037</v>
      </c>
      <c r="L51" s="24" t="n">
        <f aca="false">K51/F51*1000</f>
        <v>10045.0421603159</v>
      </c>
      <c r="M51" s="20" t="s">
        <v>168</v>
      </c>
    </row>
    <row r="52" customFormat="false" ht="15" hidden="false" customHeight="false" outlineLevel="0" collapsed="false">
      <c r="A52" s="18" t="s">
        <v>386</v>
      </c>
      <c r="B52" s="18" t="s">
        <v>78</v>
      </c>
      <c r="C52" s="19" t="s">
        <v>385</v>
      </c>
      <c r="D52" s="18" t="s">
        <v>163</v>
      </c>
      <c r="E52" s="20" t="s">
        <v>169</v>
      </c>
      <c r="F52" s="21" t="n">
        <v>3005</v>
      </c>
      <c r="G52" s="18" t="s">
        <v>165</v>
      </c>
      <c r="H52" s="38" t="s">
        <v>54</v>
      </c>
      <c r="I52" s="22" t="n">
        <v>692</v>
      </c>
      <c r="J52" s="25" t="n">
        <v>24</v>
      </c>
      <c r="K52" s="42" t="n">
        <f aca="false">R_256*I52/J52</f>
        <v>31370.6666666667</v>
      </c>
      <c r="L52" s="24" t="n">
        <f aca="false">K52/F52*1000</f>
        <v>10439.4897393234</v>
      </c>
      <c r="M52" s="20" t="s">
        <v>168</v>
      </c>
    </row>
    <row r="54" customFormat="false" ht="15" hidden="false" customHeight="false" outlineLevel="0" collapsed="false">
      <c r="A54" s="5" t="s">
        <v>387</v>
      </c>
    </row>
    <row r="55" customFormat="false" ht="15" hidden="false" customHeight="false" outlineLevel="0" collapsed="false">
      <c r="A55" s="4" t="s">
        <v>37</v>
      </c>
      <c r="B55" s="4" t="s">
        <v>38</v>
      </c>
      <c r="C55" s="4" t="s">
        <v>388</v>
      </c>
      <c r="D55" s="4" t="s">
        <v>39</v>
      </c>
      <c r="E55" s="4" t="s">
        <v>389</v>
      </c>
      <c r="F55" s="4" t="s">
        <v>390</v>
      </c>
    </row>
    <row r="56" customFormat="false" ht="113.4" hidden="false" customHeight="false" outlineLevel="0" collapsed="false">
      <c r="A56" s="20" t="s">
        <v>227</v>
      </c>
      <c r="B56" s="20" t="s">
        <v>391</v>
      </c>
      <c r="C56" s="20" t="s">
        <v>392</v>
      </c>
      <c r="D56" s="20" t="s">
        <v>393</v>
      </c>
      <c r="E56" s="20" t="s">
        <v>394</v>
      </c>
      <c r="F56" s="20" t="s">
        <v>395</v>
      </c>
    </row>
    <row r="57" customFormat="false" ht="135.8" hidden="false" customHeight="false" outlineLevel="0" collapsed="false">
      <c r="A57" s="20" t="s">
        <v>227</v>
      </c>
      <c r="B57" s="20" t="s">
        <v>396</v>
      </c>
      <c r="C57" s="20" t="s">
        <v>397</v>
      </c>
      <c r="D57" s="20" t="s">
        <v>393</v>
      </c>
      <c r="E57" s="20" t="s">
        <v>398</v>
      </c>
      <c r="F57" s="20" t="s">
        <v>399</v>
      </c>
    </row>
    <row r="58" customFormat="false" ht="35.05" hidden="false" customHeight="false" outlineLevel="0" collapsed="false">
      <c r="A58" s="20" t="s">
        <v>227</v>
      </c>
      <c r="B58" s="20" t="s">
        <v>400</v>
      </c>
      <c r="C58" s="20" t="s">
        <v>401</v>
      </c>
      <c r="D58" s="20" t="s">
        <v>402</v>
      </c>
      <c r="E58" s="20" t="s">
        <v>403</v>
      </c>
      <c r="F58" s="20" t="s">
        <v>404</v>
      </c>
    </row>
    <row r="59" customFormat="false" ht="91" hidden="false" customHeight="false" outlineLevel="0" collapsed="false">
      <c r="A59" s="20" t="s">
        <v>227</v>
      </c>
      <c r="B59" s="20" t="s">
        <v>405</v>
      </c>
      <c r="C59" s="20" t="s">
        <v>406</v>
      </c>
      <c r="D59" s="20" t="s">
        <v>163</v>
      </c>
      <c r="E59" s="20" t="s">
        <v>407</v>
      </c>
      <c r="F59" s="20" t="s">
        <v>408</v>
      </c>
    </row>
    <row r="60" customFormat="false" ht="113.4" hidden="false" customHeight="false" outlineLevel="0" collapsed="false">
      <c r="A60" s="20" t="s">
        <v>227</v>
      </c>
      <c r="B60" s="20" t="s">
        <v>409</v>
      </c>
      <c r="C60" s="20" t="s">
        <v>406</v>
      </c>
      <c r="D60" s="20" t="s">
        <v>410</v>
      </c>
      <c r="E60" s="20" t="s">
        <v>411</v>
      </c>
      <c r="F60" s="20" t="s">
        <v>412</v>
      </c>
    </row>
    <row r="61" customFormat="false" ht="46.25" hidden="false" customHeight="false" outlineLevel="0" collapsed="false">
      <c r="A61" s="20" t="s">
        <v>227</v>
      </c>
      <c r="B61" s="20" t="s">
        <v>413</v>
      </c>
      <c r="C61" s="20" t="s">
        <v>406</v>
      </c>
      <c r="D61" s="20" t="s">
        <v>410</v>
      </c>
      <c r="E61" s="20" t="s">
        <v>414</v>
      </c>
      <c r="F61" s="20" t="s">
        <v>415</v>
      </c>
    </row>
    <row r="62" customFormat="false" ht="79.85" hidden="false" customHeight="false" outlineLevel="0" collapsed="false">
      <c r="A62" s="20" t="s">
        <v>227</v>
      </c>
      <c r="B62" s="20" t="s">
        <v>416</v>
      </c>
      <c r="C62" s="20" t="s">
        <v>406</v>
      </c>
      <c r="D62" s="20" t="s">
        <v>181</v>
      </c>
      <c r="E62" s="20" t="s">
        <v>417</v>
      </c>
      <c r="F62" s="20" t="s">
        <v>418</v>
      </c>
    </row>
    <row r="63" customFormat="false" ht="57.45" hidden="false" customHeight="false" outlineLevel="0" collapsed="false">
      <c r="A63" s="20" t="s">
        <v>227</v>
      </c>
      <c r="B63" s="20" t="s">
        <v>419</v>
      </c>
      <c r="C63" s="20" t="s">
        <v>406</v>
      </c>
      <c r="D63" s="20" t="s">
        <v>54</v>
      </c>
      <c r="E63" s="20" t="s">
        <v>420</v>
      </c>
      <c r="F63" s="20" t="s">
        <v>421</v>
      </c>
    </row>
    <row r="64" customFormat="false" ht="68.65" hidden="false" customHeight="false" outlineLevel="0" collapsed="false">
      <c r="A64" s="20" t="s">
        <v>227</v>
      </c>
      <c r="B64" s="20" t="s">
        <v>422</v>
      </c>
      <c r="C64" s="20" t="s">
        <v>406</v>
      </c>
      <c r="D64" s="20" t="s">
        <v>423</v>
      </c>
      <c r="E64" s="20" t="s">
        <v>424</v>
      </c>
      <c r="F64" s="20" t="s">
        <v>425</v>
      </c>
    </row>
    <row r="65" customFormat="false" ht="46.25" hidden="false" customHeight="false" outlineLevel="0" collapsed="false">
      <c r="A65" s="20" t="s">
        <v>227</v>
      </c>
      <c r="B65" s="20" t="s">
        <v>426</v>
      </c>
      <c r="C65" s="20" t="s">
        <v>406</v>
      </c>
      <c r="D65" s="20" t="s">
        <v>71</v>
      </c>
      <c r="E65" s="20" t="s">
        <v>427</v>
      </c>
      <c r="F65" s="20" t="s">
        <v>428</v>
      </c>
    </row>
    <row r="66" customFormat="false" ht="57.45" hidden="false" customHeight="false" outlineLevel="0" collapsed="false">
      <c r="A66" s="20" t="s">
        <v>227</v>
      </c>
      <c r="B66" s="20" t="s">
        <v>429</v>
      </c>
      <c r="C66" s="20" t="s">
        <v>406</v>
      </c>
      <c r="D66" s="20" t="s">
        <v>57</v>
      </c>
      <c r="E66" s="20" t="s">
        <v>430</v>
      </c>
      <c r="F66" s="20" t="s">
        <v>431</v>
      </c>
    </row>
    <row r="67" customFormat="false" ht="46.25" hidden="false" customHeight="false" outlineLevel="0" collapsed="false">
      <c r="A67" s="20" t="s">
        <v>49</v>
      </c>
      <c r="B67" s="20" t="s">
        <v>432</v>
      </c>
      <c r="C67" s="20" t="s">
        <v>406</v>
      </c>
      <c r="D67" s="20" t="s">
        <v>88</v>
      </c>
      <c r="E67" s="20" t="s">
        <v>433</v>
      </c>
      <c r="F67" s="20" t="s">
        <v>434</v>
      </c>
    </row>
    <row r="68" customFormat="false" ht="68.65" hidden="false" customHeight="false" outlineLevel="0" collapsed="false">
      <c r="A68" s="20" t="s">
        <v>49</v>
      </c>
      <c r="B68" s="20" t="s">
        <v>435</v>
      </c>
      <c r="C68" s="20" t="s">
        <v>406</v>
      </c>
      <c r="D68" s="20" t="s">
        <v>436</v>
      </c>
      <c r="E68" s="20" t="s">
        <v>406</v>
      </c>
      <c r="F68" s="20" t="s">
        <v>437</v>
      </c>
    </row>
    <row r="69" customFormat="false" ht="35.05" hidden="false" customHeight="false" outlineLevel="0" collapsed="false">
      <c r="A69" s="20" t="s">
        <v>49</v>
      </c>
      <c r="B69" s="20" t="s">
        <v>438</v>
      </c>
      <c r="C69" s="20" t="s">
        <v>406</v>
      </c>
      <c r="D69" s="20" t="s">
        <v>439</v>
      </c>
      <c r="E69" s="20" t="s">
        <v>440</v>
      </c>
      <c r="F69" s="20" t="s">
        <v>441</v>
      </c>
    </row>
    <row r="70" customFormat="false" ht="35.05" hidden="false" customHeight="false" outlineLevel="0" collapsed="false">
      <c r="A70" s="20" t="s">
        <v>49</v>
      </c>
      <c r="B70" s="20" t="s">
        <v>442</v>
      </c>
      <c r="C70" s="20" t="s">
        <v>406</v>
      </c>
      <c r="D70" s="20" t="s">
        <v>406</v>
      </c>
      <c r="E70" s="20" t="s">
        <v>406</v>
      </c>
      <c r="F70" s="20" t="s">
        <v>443</v>
      </c>
    </row>
    <row r="71" customFormat="false" ht="68.65" hidden="false" customHeight="false" outlineLevel="0" collapsed="false">
      <c r="A71" s="20" t="s">
        <v>227</v>
      </c>
      <c r="B71" s="20" t="s">
        <v>444</v>
      </c>
      <c r="C71" s="20" t="s">
        <v>445</v>
      </c>
      <c r="D71" s="20" t="s">
        <v>71</v>
      </c>
      <c r="E71" s="20" t="s">
        <v>446</v>
      </c>
      <c r="F71" s="20" t="s">
        <v>447</v>
      </c>
    </row>
    <row r="72" customFormat="false" ht="68.65" hidden="false" customHeight="false" outlineLevel="0" collapsed="false">
      <c r="A72" s="20" t="s">
        <v>227</v>
      </c>
      <c r="B72" s="20" t="s">
        <v>448</v>
      </c>
      <c r="C72" s="20" t="s">
        <v>445</v>
      </c>
      <c r="D72" s="20" t="s">
        <v>71</v>
      </c>
      <c r="E72" s="20" t="s">
        <v>449</v>
      </c>
      <c r="F72" s="20" t="s">
        <v>447</v>
      </c>
    </row>
    <row r="73" customFormat="false" ht="91" hidden="false" customHeight="false" outlineLevel="0" collapsed="false">
      <c r="A73" s="20" t="s">
        <v>227</v>
      </c>
      <c r="B73" s="20" t="s">
        <v>450</v>
      </c>
      <c r="C73" s="20" t="s">
        <v>451</v>
      </c>
      <c r="D73" s="20" t="s">
        <v>54</v>
      </c>
      <c r="E73" s="20" t="s">
        <v>452</v>
      </c>
      <c r="F73" s="20" t="s">
        <v>453</v>
      </c>
    </row>
  </sheetData>
  <hyperlinks>
    <hyperlink ref="C3" location="'Fonti'!A6" display="[5]"/>
    <hyperlink ref="C4" location="'Fonti'!A3" display="[2]"/>
    <hyperlink ref="C5" location="'Fonti'!A7" display="[6]"/>
    <hyperlink ref="C6" location="'Fonti'!A3" display="[2]"/>
    <hyperlink ref="C7" location="'Fonti'!A2" display="[1]"/>
    <hyperlink ref="C8" location="'Fonti'!A2" display="[1]"/>
    <hyperlink ref="C9" location="'Fonti'!A2" display="[1]"/>
    <hyperlink ref="C10" location="'Fonti'!A2" display="[1]"/>
    <hyperlink ref="C11" location="'Fonti'!A2" display="[1]"/>
    <hyperlink ref="C12" location="'Fonti'!A2" display="[1]"/>
    <hyperlink ref="C13" location="'Fonti'!A2" display="[1]"/>
    <hyperlink ref="C14" location="'Fonti'!A2" display="[1]"/>
    <hyperlink ref="C15" location="'Fonti'!A2" display="[1]"/>
    <hyperlink ref="C16" location="'Fonti'!A2" display="[1]"/>
    <hyperlink ref="C17" location="'Fonti'!A2" display="[1]"/>
    <hyperlink ref="C18" location="'Fonti'!A2" display="[1]"/>
    <hyperlink ref="C19" location="'Fonti'!A2" display="[1]"/>
    <hyperlink ref="C20" location="'Fonti'!A12" display="[11]"/>
    <hyperlink ref="C21" location="'Fonti'!A14" display="[13]"/>
    <hyperlink ref="C22" location="'Fonti'!A20" display="[19]"/>
    <hyperlink ref="C23" location="'Fonti'!A17" display="[16]"/>
    <hyperlink ref="C24" location="'Fonti'!A16" display="[15]"/>
    <hyperlink ref="C25" location="'Fonti'!A16" display="[15]"/>
    <hyperlink ref="C26" location="'Fonti'!A13" display="[12]"/>
    <hyperlink ref="C27" location="'Fonti'!A14" display="[13]"/>
    <hyperlink ref="C28" location="'Fonti'!A12" display="[11]"/>
    <hyperlink ref="C29" location="'Fonti'!A18" display="[17]"/>
    <hyperlink ref="C30" location="'Fonti'!A17" display="[16]"/>
    <hyperlink ref="C31" location="'Fonti'!A13" display="[12]"/>
    <hyperlink ref="C32" location="'Fonti'!A14" display="[13]"/>
    <hyperlink ref="C33" location="'Fonti'!A19" display="[18]"/>
    <hyperlink ref="C34" location="'Fonti'!A19" display="[18]"/>
    <hyperlink ref="C35" location="'Fonti'!A20" display="[19]"/>
    <hyperlink ref="C36" location="'Fonti'!A30" display="[29]"/>
    <hyperlink ref="C37" location="'Fonti'!A14" display="[13]"/>
    <hyperlink ref="C38" location="'Fonti'!A12" display="[11]"/>
    <hyperlink ref="C39" location="'Fonti'!A29" display="[28]"/>
    <hyperlink ref="C40" location="'Fonti'!A22" display="[21]"/>
    <hyperlink ref="C41" location="'Fonti'!A27" display="[26]"/>
    <hyperlink ref="C42" location="'Fonti'!A28" display="[27]"/>
    <hyperlink ref="C43" location="'Fonti'!A18" display="[17]"/>
    <hyperlink ref="C44" location="'Fonti'!A14" display="[13]"/>
    <hyperlink ref="C45" location="'Fonti'!A30" display="[29]"/>
    <hyperlink ref="C46" location="'Fonti'!A12" display="[11]"/>
    <hyperlink ref="C47" location="'Fonti'!A26" display="[25]"/>
    <hyperlink ref="C48" location="'Fonti'!A29" display="[28]"/>
    <hyperlink ref="C49" location="'Fonti'!A18" display="[17]"/>
    <hyperlink ref="C50" location="'Fonti'!A32" display="[31]"/>
    <hyperlink ref="C51" location="'Fonti'!A25" display="[24]"/>
    <hyperlink ref="C52" location="'Fonti'!A25" display="[24]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" t="s">
        <v>454</v>
      </c>
    </row>
    <row r="2" customFormat="false" ht="15" hidden="false" customHeight="false" outlineLevel="0" collapsed="false">
      <c r="A2" s="4" t="s">
        <v>388</v>
      </c>
      <c r="B2" s="4" t="s">
        <v>455</v>
      </c>
      <c r="C2" s="4" t="s">
        <v>456</v>
      </c>
      <c r="D2" s="4" t="s">
        <v>457</v>
      </c>
    </row>
    <row r="3" customFormat="false" ht="15" hidden="false" customHeight="false" outlineLevel="0" collapsed="false">
      <c r="A3" s="20" t="s">
        <v>458</v>
      </c>
      <c r="B3" s="20" t="s">
        <v>459</v>
      </c>
      <c r="C3" s="20" t="s">
        <v>460</v>
      </c>
      <c r="D3" s="20" t="s">
        <v>461</v>
      </c>
    </row>
    <row r="4" customFormat="false" ht="23.85" hidden="false" customHeight="false" outlineLevel="0" collapsed="false">
      <c r="A4" s="20" t="s">
        <v>462</v>
      </c>
      <c r="B4" s="20" t="s">
        <v>463</v>
      </c>
      <c r="C4" s="20" t="s">
        <v>464</v>
      </c>
      <c r="D4" s="20" t="s">
        <v>465</v>
      </c>
    </row>
    <row r="5" customFormat="false" ht="23.85" hidden="false" customHeight="false" outlineLevel="0" collapsed="false">
      <c r="A5" s="20" t="s">
        <v>466</v>
      </c>
      <c r="B5" s="20" t="s">
        <v>467</v>
      </c>
      <c r="C5" s="20" t="s">
        <v>468</v>
      </c>
      <c r="D5" s="20" t="s">
        <v>469</v>
      </c>
    </row>
    <row r="6" customFormat="false" ht="15" hidden="false" customHeight="false" outlineLevel="0" collapsed="false">
      <c r="A6" s="20" t="s">
        <v>470</v>
      </c>
      <c r="B6" s="20" t="s">
        <v>471</v>
      </c>
      <c r="C6" s="20" t="s">
        <v>472</v>
      </c>
      <c r="D6" s="20" t="s">
        <v>473</v>
      </c>
    </row>
    <row r="7" customFormat="false" ht="15" hidden="false" customHeight="false" outlineLevel="0" collapsed="false">
      <c r="A7" s="20" t="s">
        <v>474</v>
      </c>
      <c r="B7" s="20" t="s">
        <v>475</v>
      </c>
      <c r="C7" s="20" t="s">
        <v>476</v>
      </c>
      <c r="D7" s="20" t="s">
        <v>477</v>
      </c>
    </row>
    <row r="8" customFormat="false" ht="23.85" hidden="false" customHeight="false" outlineLevel="0" collapsed="false">
      <c r="A8" s="20" t="s">
        <v>406</v>
      </c>
      <c r="B8" s="20" t="s">
        <v>478</v>
      </c>
      <c r="C8" s="20" t="s">
        <v>479</v>
      </c>
      <c r="D8" s="20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10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4" t="s">
        <v>481</v>
      </c>
      <c r="B1" s="4" t="s">
        <v>388</v>
      </c>
      <c r="C1" s="4" t="s">
        <v>482</v>
      </c>
      <c r="D1" s="4" t="s">
        <v>483</v>
      </c>
      <c r="E1" s="4" t="s">
        <v>484</v>
      </c>
    </row>
    <row r="2" customFormat="false" ht="35.05" hidden="false" customHeight="false" outlineLevel="0" collapsed="false">
      <c r="A2" s="5" t="s">
        <v>63</v>
      </c>
      <c r="B2" s="5" t="s">
        <v>485</v>
      </c>
      <c r="C2" s="20" t="s">
        <v>486</v>
      </c>
      <c r="D2" s="20" t="s">
        <v>487</v>
      </c>
      <c r="E2" s="19" t="s">
        <v>488</v>
      </c>
    </row>
    <row r="3" customFormat="false" ht="23.85" hidden="false" customHeight="false" outlineLevel="0" collapsed="false">
      <c r="A3" s="5" t="s">
        <v>60</v>
      </c>
      <c r="B3" s="5" t="s">
        <v>489</v>
      </c>
      <c r="C3" s="20" t="s">
        <v>490</v>
      </c>
      <c r="D3" s="20" t="s">
        <v>491</v>
      </c>
      <c r="E3" s="19" t="s">
        <v>492</v>
      </c>
    </row>
    <row r="4" customFormat="false" ht="23.85" hidden="false" customHeight="false" outlineLevel="0" collapsed="false">
      <c r="A4" s="5" t="s">
        <v>70</v>
      </c>
      <c r="B4" s="5" t="s">
        <v>493</v>
      </c>
      <c r="C4" s="20" t="s">
        <v>494</v>
      </c>
      <c r="D4" s="20" t="s">
        <v>491</v>
      </c>
    </row>
    <row r="5" customFormat="false" ht="15" hidden="false" customHeight="false" outlineLevel="0" collapsed="false">
      <c r="A5" s="5" t="s">
        <v>56</v>
      </c>
      <c r="B5" s="5" t="s">
        <v>495</v>
      </c>
      <c r="C5" s="20" t="s">
        <v>496</v>
      </c>
      <c r="D5" s="20" t="s">
        <v>497</v>
      </c>
    </row>
    <row r="6" customFormat="false" ht="15" hidden="false" customHeight="false" outlineLevel="0" collapsed="false">
      <c r="A6" s="5" t="s">
        <v>296</v>
      </c>
      <c r="B6" s="5" t="s">
        <v>498</v>
      </c>
      <c r="C6" s="20" t="s">
        <v>499</v>
      </c>
      <c r="D6" s="20" t="s">
        <v>491</v>
      </c>
    </row>
    <row r="7" customFormat="false" ht="23.85" hidden="false" customHeight="false" outlineLevel="0" collapsed="false">
      <c r="A7" s="5" t="s">
        <v>50</v>
      </c>
      <c r="B7" s="5" t="s">
        <v>500</v>
      </c>
      <c r="C7" s="20" t="s">
        <v>501</v>
      </c>
      <c r="D7" s="20" t="s">
        <v>502</v>
      </c>
      <c r="E7" s="19" t="s">
        <v>503</v>
      </c>
    </row>
    <row r="8" customFormat="false" ht="15" hidden="false" customHeight="false" outlineLevel="0" collapsed="false">
      <c r="A8" s="5" t="s">
        <v>79</v>
      </c>
      <c r="B8" s="5" t="s">
        <v>504</v>
      </c>
      <c r="C8" s="20" t="s">
        <v>505</v>
      </c>
      <c r="D8" s="20" t="s">
        <v>491</v>
      </c>
    </row>
    <row r="9" customFormat="false" ht="15" hidden="false" customHeight="false" outlineLevel="0" collapsed="false">
      <c r="A9" s="5" t="s">
        <v>85</v>
      </c>
      <c r="B9" s="5" t="s">
        <v>506</v>
      </c>
      <c r="C9" s="20" t="s">
        <v>507</v>
      </c>
      <c r="D9" s="20" t="s">
        <v>491</v>
      </c>
    </row>
    <row r="10" customFormat="false" ht="23.85" hidden="false" customHeight="false" outlineLevel="0" collapsed="false">
      <c r="A10" s="5" t="s">
        <v>185</v>
      </c>
      <c r="B10" s="5" t="s">
        <v>508</v>
      </c>
      <c r="C10" s="20" t="s">
        <v>509</v>
      </c>
      <c r="D10" s="20" t="s">
        <v>491</v>
      </c>
    </row>
    <row r="11" customFormat="false" ht="15" hidden="false" customHeight="false" outlineLevel="0" collapsed="false">
      <c r="A11" s="5" t="s">
        <v>191</v>
      </c>
      <c r="B11" s="5" t="s">
        <v>451</v>
      </c>
      <c r="C11" s="20" t="s">
        <v>510</v>
      </c>
      <c r="D11" s="20" t="s">
        <v>511</v>
      </c>
    </row>
    <row r="12" customFormat="false" ht="15" hidden="false" customHeight="false" outlineLevel="0" collapsed="false">
      <c r="A12" s="5" t="s">
        <v>99</v>
      </c>
      <c r="B12" s="5" t="s">
        <v>401</v>
      </c>
      <c r="C12" s="20" t="s">
        <v>512</v>
      </c>
      <c r="D12" s="20" t="s">
        <v>513</v>
      </c>
      <c r="E12" s="19" t="s">
        <v>514</v>
      </c>
    </row>
    <row r="13" customFormat="false" ht="15" hidden="false" customHeight="false" outlineLevel="0" collapsed="false">
      <c r="A13" s="5" t="s">
        <v>149</v>
      </c>
      <c r="B13" s="5" t="s">
        <v>515</v>
      </c>
      <c r="C13" s="20" t="s">
        <v>516</v>
      </c>
      <c r="D13" s="20" t="s">
        <v>513</v>
      </c>
    </row>
    <row r="14" customFormat="false" ht="23.85" hidden="false" customHeight="false" outlineLevel="0" collapsed="false">
      <c r="A14" s="5" t="s">
        <v>102</v>
      </c>
      <c r="B14" s="5" t="s">
        <v>517</v>
      </c>
      <c r="C14" s="20" t="s">
        <v>518</v>
      </c>
      <c r="D14" s="20" t="s">
        <v>519</v>
      </c>
    </row>
    <row r="15" customFormat="false" ht="23.85" hidden="false" customHeight="false" outlineLevel="0" collapsed="false">
      <c r="A15" s="5" t="s">
        <v>520</v>
      </c>
      <c r="B15" s="5" t="s">
        <v>392</v>
      </c>
      <c r="C15" s="20" t="s">
        <v>521</v>
      </c>
      <c r="D15" s="20" t="s">
        <v>513</v>
      </c>
      <c r="E15" s="19" t="s">
        <v>522</v>
      </c>
    </row>
    <row r="16" customFormat="false" ht="15" hidden="false" customHeight="false" outlineLevel="0" collapsed="false">
      <c r="A16" s="5" t="s">
        <v>109</v>
      </c>
      <c r="B16" s="5" t="s">
        <v>523</v>
      </c>
      <c r="C16" s="20" t="s">
        <v>524</v>
      </c>
      <c r="D16" s="20" t="s">
        <v>525</v>
      </c>
    </row>
    <row r="17" customFormat="false" ht="15" hidden="false" customHeight="false" outlineLevel="0" collapsed="false">
      <c r="A17" s="5" t="s">
        <v>336</v>
      </c>
      <c r="B17" s="5" t="s">
        <v>526</v>
      </c>
      <c r="C17" s="20" t="s">
        <v>527</v>
      </c>
      <c r="D17" s="20" t="s">
        <v>525</v>
      </c>
    </row>
    <row r="18" customFormat="false" ht="23.85" hidden="false" customHeight="false" outlineLevel="0" collapsed="false">
      <c r="A18" s="5" t="s">
        <v>349</v>
      </c>
      <c r="B18" s="5" t="s">
        <v>528</v>
      </c>
      <c r="C18" s="20" t="s">
        <v>529</v>
      </c>
      <c r="D18" s="20" t="s">
        <v>525</v>
      </c>
    </row>
    <row r="19" customFormat="false" ht="15" hidden="false" customHeight="false" outlineLevel="0" collapsed="false">
      <c r="A19" s="5" t="s">
        <v>92</v>
      </c>
      <c r="B19" s="5" t="s">
        <v>530</v>
      </c>
      <c r="C19" s="20" t="s">
        <v>531</v>
      </c>
      <c r="D19" s="20" t="s">
        <v>532</v>
      </c>
      <c r="E19" s="19" t="s">
        <v>533</v>
      </c>
    </row>
    <row r="20" customFormat="false" ht="23.85" hidden="false" customHeight="false" outlineLevel="0" collapsed="false">
      <c r="A20" s="5" t="s">
        <v>333</v>
      </c>
      <c r="B20" s="5" t="s">
        <v>397</v>
      </c>
      <c r="C20" s="20" t="s">
        <v>534</v>
      </c>
      <c r="D20" s="20" t="s">
        <v>532</v>
      </c>
      <c r="E20" s="19" t="s">
        <v>535</v>
      </c>
    </row>
    <row r="21" customFormat="false" ht="23.85" hidden="false" customHeight="false" outlineLevel="0" collapsed="false">
      <c r="A21" s="5" t="s">
        <v>112</v>
      </c>
      <c r="B21" s="5" t="s">
        <v>536</v>
      </c>
      <c r="C21" s="20" t="s">
        <v>537</v>
      </c>
      <c r="D21" s="20" t="s">
        <v>525</v>
      </c>
      <c r="E21" s="19" t="s">
        <v>538</v>
      </c>
    </row>
    <row r="22" customFormat="false" ht="23.85" hidden="false" customHeight="false" outlineLevel="0" collapsed="false">
      <c r="A22" s="5" t="s">
        <v>117</v>
      </c>
      <c r="B22" s="5" t="s">
        <v>539</v>
      </c>
      <c r="C22" s="20" t="s">
        <v>540</v>
      </c>
      <c r="D22" s="20" t="s">
        <v>541</v>
      </c>
      <c r="E22" s="19" t="s">
        <v>542</v>
      </c>
    </row>
    <row r="23" customFormat="false" ht="15" hidden="false" customHeight="false" outlineLevel="0" collapsed="false">
      <c r="A23" s="5" t="s">
        <v>162</v>
      </c>
      <c r="B23" s="5" t="s">
        <v>543</v>
      </c>
      <c r="C23" s="20" t="s">
        <v>544</v>
      </c>
      <c r="D23" s="20" t="s">
        <v>513</v>
      </c>
    </row>
    <row r="24" customFormat="false" ht="15" hidden="false" customHeight="false" outlineLevel="0" collapsed="false">
      <c r="A24" s="5" t="s">
        <v>167</v>
      </c>
      <c r="B24" s="5" t="s">
        <v>545</v>
      </c>
      <c r="C24" s="20" t="s">
        <v>546</v>
      </c>
      <c r="D24" s="20" t="s">
        <v>513</v>
      </c>
    </row>
    <row r="25" customFormat="false" ht="23.85" hidden="false" customHeight="false" outlineLevel="0" collapsed="false">
      <c r="A25" s="5" t="s">
        <v>385</v>
      </c>
      <c r="B25" s="5" t="s">
        <v>547</v>
      </c>
      <c r="C25" s="20" t="s">
        <v>548</v>
      </c>
      <c r="D25" s="20" t="s">
        <v>541</v>
      </c>
      <c r="E25" s="19" t="s">
        <v>549</v>
      </c>
    </row>
    <row r="26" customFormat="false" ht="23.85" hidden="false" customHeight="false" outlineLevel="0" collapsed="false">
      <c r="A26" s="5" t="s">
        <v>377</v>
      </c>
      <c r="B26" s="5" t="s">
        <v>445</v>
      </c>
      <c r="C26" s="20" t="s">
        <v>550</v>
      </c>
      <c r="D26" s="20" t="s">
        <v>491</v>
      </c>
    </row>
    <row r="27" customFormat="false" ht="15" hidden="false" customHeight="false" outlineLevel="0" collapsed="false">
      <c r="A27" s="5" t="s">
        <v>367</v>
      </c>
      <c r="B27" s="5" t="s">
        <v>462</v>
      </c>
      <c r="C27" s="20" t="s">
        <v>551</v>
      </c>
      <c r="D27" s="20" t="s">
        <v>552</v>
      </c>
    </row>
    <row r="28" customFormat="false" ht="23.85" hidden="false" customHeight="false" outlineLevel="0" collapsed="false">
      <c r="A28" s="5" t="s">
        <v>370</v>
      </c>
      <c r="B28" s="5" t="s">
        <v>466</v>
      </c>
      <c r="C28" s="20" t="s">
        <v>553</v>
      </c>
      <c r="D28" s="20" t="s">
        <v>552</v>
      </c>
    </row>
    <row r="29" customFormat="false" ht="15" hidden="false" customHeight="false" outlineLevel="0" collapsed="false">
      <c r="A29" s="5" t="s">
        <v>362</v>
      </c>
      <c r="B29" s="5" t="s">
        <v>554</v>
      </c>
      <c r="C29" s="20" t="s">
        <v>555</v>
      </c>
      <c r="D29" s="20" t="s">
        <v>491</v>
      </c>
    </row>
    <row r="30" customFormat="false" ht="23.85" hidden="false" customHeight="false" outlineLevel="0" collapsed="false">
      <c r="A30" s="5" t="s">
        <v>121</v>
      </c>
      <c r="B30" s="5" t="s">
        <v>556</v>
      </c>
      <c r="C30" s="20" t="s">
        <v>557</v>
      </c>
      <c r="D30" s="20" t="s">
        <v>532</v>
      </c>
      <c r="E30" s="19" t="s">
        <v>558</v>
      </c>
    </row>
    <row r="31" customFormat="false" ht="23.85" hidden="false" customHeight="false" outlineLevel="0" collapsed="false">
      <c r="A31" s="5" t="s">
        <v>157</v>
      </c>
      <c r="B31" s="5" t="s">
        <v>559</v>
      </c>
      <c r="C31" s="20" t="s">
        <v>560</v>
      </c>
      <c r="D31" s="20" t="s">
        <v>532</v>
      </c>
      <c r="E31" s="19" t="s">
        <v>561</v>
      </c>
    </row>
    <row r="32" customFormat="false" ht="23.85" hidden="false" customHeight="false" outlineLevel="0" collapsed="false">
      <c r="A32" s="5" t="s">
        <v>188</v>
      </c>
      <c r="B32" s="5" t="s">
        <v>562</v>
      </c>
      <c r="C32" s="20" t="s">
        <v>563</v>
      </c>
      <c r="D32" s="20" t="s">
        <v>513</v>
      </c>
      <c r="E32" s="19" t="s">
        <v>564</v>
      </c>
    </row>
    <row r="33" customFormat="false" ht="15" hidden="false" customHeight="false" outlineLevel="0" collapsed="false">
      <c r="A33" s="5" t="s">
        <v>565</v>
      </c>
      <c r="B33" s="5" t="s">
        <v>566</v>
      </c>
      <c r="C33" s="20" t="s">
        <v>567</v>
      </c>
      <c r="D33" s="20" t="s">
        <v>568</v>
      </c>
      <c r="E33" s="19" t="s">
        <v>569</v>
      </c>
    </row>
    <row r="34" customFormat="false" ht="15" hidden="false" customHeight="false" outlineLevel="0" collapsed="false">
      <c r="A34" s="5" t="s">
        <v>570</v>
      </c>
      <c r="B34" s="5" t="s">
        <v>571</v>
      </c>
      <c r="C34" s="20" t="s">
        <v>572</v>
      </c>
      <c r="D34" s="20" t="s">
        <v>568</v>
      </c>
      <c r="E34" s="19" t="s">
        <v>573</v>
      </c>
    </row>
    <row r="35" customFormat="false" ht="15" hidden="false" customHeight="false" outlineLevel="0" collapsed="false">
      <c r="A35" s="5" t="s">
        <v>574</v>
      </c>
      <c r="B35" s="5" t="s">
        <v>575</v>
      </c>
      <c r="C35" s="20" t="s">
        <v>576</v>
      </c>
      <c r="D35" s="20" t="s">
        <v>568</v>
      </c>
      <c r="E35" s="19" t="s">
        <v>577</v>
      </c>
    </row>
    <row r="36" customFormat="false" ht="15" hidden="false" customHeight="false" outlineLevel="0" collapsed="false">
      <c r="A36" s="5" t="s">
        <v>578</v>
      </c>
      <c r="B36" s="5" t="s">
        <v>579</v>
      </c>
      <c r="C36" s="20" t="s">
        <v>580</v>
      </c>
      <c r="D36" s="20" t="s">
        <v>581</v>
      </c>
      <c r="E36" s="19" t="s">
        <v>582</v>
      </c>
    </row>
    <row r="37" customFormat="false" ht="15" hidden="false" customHeight="false" outlineLevel="0" collapsed="false">
      <c r="A37" s="5" t="s">
        <v>583</v>
      </c>
      <c r="B37" s="5" t="s">
        <v>584</v>
      </c>
      <c r="C37" s="20" t="s">
        <v>585</v>
      </c>
      <c r="D37" s="20" t="s">
        <v>586</v>
      </c>
      <c r="E37" s="19" t="s">
        <v>587</v>
      </c>
    </row>
    <row r="38" customFormat="false" ht="15" hidden="false" customHeight="false" outlineLevel="0" collapsed="false">
      <c r="A38" s="5" t="s">
        <v>588</v>
      </c>
      <c r="B38" s="5" t="s">
        <v>589</v>
      </c>
      <c r="C38" s="20" t="s">
        <v>590</v>
      </c>
      <c r="D38" s="20" t="s">
        <v>591</v>
      </c>
      <c r="E38" s="19" t="s">
        <v>592</v>
      </c>
    </row>
    <row r="39" customFormat="false" ht="15" hidden="false" customHeight="false" outlineLevel="0" collapsed="false">
      <c r="A39" s="5" t="s">
        <v>593</v>
      </c>
      <c r="B39" s="5" t="s">
        <v>594</v>
      </c>
      <c r="C39" s="20" t="s">
        <v>595</v>
      </c>
      <c r="D39" s="20" t="s">
        <v>591</v>
      </c>
      <c r="E39" s="19" t="s">
        <v>596</v>
      </c>
    </row>
    <row r="40" customFormat="false" ht="15" hidden="false" customHeight="false" outlineLevel="0" collapsed="false">
      <c r="A40" s="5" t="s">
        <v>597</v>
      </c>
      <c r="B40" s="5" t="s">
        <v>598</v>
      </c>
      <c r="C40" s="20" t="s">
        <v>599</v>
      </c>
      <c r="D40" s="20" t="s">
        <v>591</v>
      </c>
      <c r="E40" s="19" t="s">
        <v>600</v>
      </c>
    </row>
    <row r="41" customFormat="false" ht="23.85" hidden="false" customHeight="false" outlineLevel="0" collapsed="false">
      <c r="A41" s="5" t="s">
        <v>601</v>
      </c>
      <c r="B41" s="5" t="s">
        <v>602</v>
      </c>
      <c r="C41" s="20" t="s">
        <v>603</v>
      </c>
      <c r="D41" s="20" t="s">
        <v>604</v>
      </c>
      <c r="E41" s="19" t="s">
        <v>605</v>
      </c>
    </row>
  </sheetData>
  <hyperlinks>
    <hyperlink ref="E2" r:id="rId1" display="https://eprint.iacr.org/2020/1207"/>
    <hyperlink ref="E3" r:id="rId2" display="https://eprint.iacr.org/2023/484"/>
    <hyperlink ref="E7" r:id="rId3" display="https://eprint.iacr.org/2019/824"/>
    <hyperlink ref="E12" r:id="rId4" display="https://ieeexplore.ieee.org/document/7031105"/>
    <hyperlink ref="E15" r:id="rId5" display="https://doi.org/10.1007/s13389-025-00379-3"/>
    <hyperlink ref="E19" r:id="rId6" display="https://cryptography.gmu.edu/team/download.php?docid=2003"/>
    <hyperlink ref="E20" r:id="rId7" display="https://ijece.iaescore.com/index.php/IJECE/article/view/25892"/>
    <hyperlink ref="E21" r:id="rId8" display="https://doi.org/10.1007/s13389-023-00334-0"/>
    <hyperlink ref="E22" r:id="rId9" display="https://www.mdpi.com/2078-2489/14/9/475"/>
    <hyperlink ref="E25" r:id="rId10" display="https://www.mdpi.com/2227-7080/8/1/15"/>
    <hyperlink ref="E30" r:id="rId11" display="https://core.ac.uk/download/304199727.pdf"/>
    <hyperlink ref="E31" r:id="rId12" display="https://hrcak.srce.hr/292680"/>
    <hyperlink ref="E32" r:id="rId13" display="https://doi.org/10.1109/TCSII.2022.3223179"/>
    <hyperlink ref="E33" r:id="rId14" display="https://github.com/rprimas/ascon-verilog"/>
    <hyperlink ref="E34" r:id="rId15" display="https://github.com/kammoh/bluelight"/>
    <hyperlink ref="E35" r:id="rId16" display="https://keccak.team/hardware.html"/>
    <hyperlink ref="E36" r:id="rId17" display="https://github.com/al3monni/ascon-sha3-hybrid-hls"/>
    <hyperlink ref="E37" r:id="rId18" display="https://www.cast-inc.com/pdfs/cast_sha-3-brief-amd.pdf"/>
    <hyperlink ref="E38" r:id="rId19" display="https://www.cast-inc.com/security/encryption-primitives/ascon-f"/>
    <hyperlink ref="E39" r:id="rId20" display="https://www.latticesemi.com/products/designsoftwareandip/intellectualproperty/ipcore/xipheracores/xip3030c"/>
    <hyperlink ref="E40" r:id="rId21" display="https://www.latticesemi.com/products/designsoftwareandip/intellectualproperty/ipcore/xipheracores/xip2201b"/>
    <hyperlink ref="E41" r:id="rId22" display="https://doi.org/10.1109/OJIES.2025.357121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2026-10-30T09:15:20Z</dcterms:created>
  <dc:creator>openpyxl</dc:creator>
  <dc:description/>
  <dc:language>en-US</dc:language>
  <cp:lastModifiedBy/>
  <dcterms:modified xsi:type="dcterms:W3CDTF">2026-10-30T09:15:20Z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